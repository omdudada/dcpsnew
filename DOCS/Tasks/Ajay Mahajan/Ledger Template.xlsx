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jay\Ajay - NMC's Official Letters &amp; Documents (Keep Here)\Gratuaty &amp; Family Pension - Bhagyashri Ganesh Mahajan\1. DCPS-NPS Gratuty and Family Pension Proposal\"/>
    </mc:Choice>
  </mc:AlternateContent>
  <xr:revisionPtr revIDLastSave="0" documentId="13_ncr:1_{B9C4CA08-19DA-47AD-98BE-004A28D859B4}" xr6:coauthVersionLast="47" xr6:coauthVersionMax="47" xr10:uidLastSave="{00000000-0000-0000-0000-000000000000}"/>
  <bookViews>
    <workbookView xWindow="-120" yWindow="-120" windowWidth="29040" windowHeight="15720" xr2:uid="{41911E7D-51EC-4C81-8A76-0409B60CD8EE}"/>
  </bookViews>
  <sheets>
    <sheet name="Ledger Templat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7" i="1" l="1"/>
  <c r="N563" i="1" s="1"/>
  <c r="F557" i="1"/>
  <c r="B557" i="1"/>
  <c r="E556" i="1"/>
  <c r="G556" i="1" s="1"/>
  <c r="E555" i="1"/>
  <c r="G555" i="1" s="1"/>
  <c r="G554" i="1"/>
  <c r="E554" i="1"/>
  <c r="E553" i="1"/>
  <c r="G553" i="1" s="1"/>
  <c r="E552" i="1"/>
  <c r="G552" i="1" s="1"/>
  <c r="E551" i="1"/>
  <c r="G551" i="1" s="1"/>
  <c r="E550" i="1"/>
  <c r="G550" i="1" s="1"/>
  <c r="E549" i="1"/>
  <c r="G549" i="1" s="1"/>
  <c r="G548" i="1"/>
  <c r="E548" i="1"/>
  <c r="E547" i="1"/>
  <c r="G547" i="1" s="1"/>
  <c r="E546" i="1"/>
  <c r="G546" i="1" s="1"/>
  <c r="E545" i="1"/>
  <c r="E557" i="1" s="1"/>
  <c r="N561" i="1" s="1"/>
  <c r="K542" i="1"/>
  <c r="N559" i="1" s="1"/>
  <c r="K540" i="1"/>
  <c r="B540" i="1"/>
  <c r="F538" i="1"/>
  <c r="B538" i="1"/>
  <c r="AA516" i="1"/>
  <c r="X516" i="1"/>
  <c r="W516" i="1"/>
  <c r="V516" i="1"/>
  <c r="H516" i="1"/>
  <c r="L524" i="1" s="1"/>
  <c r="F516" i="1"/>
  <c r="L520" i="1" s="1"/>
  <c r="C516" i="1"/>
  <c r="Y515" i="1"/>
  <c r="Z515" i="1" s="1"/>
  <c r="AB515" i="1" s="1"/>
  <c r="E515" i="1"/>
  <c r="D515" i="1"/>
  <c r="AB514" i="1"/>
  <c r="Y514" i="1"/>
  <c r="Z514" i="1" s="1"/>
  <c r="E514" i="1"/>
  <c r="D514" i="1"/>
  <c r="Y513" i="1"/>
  <c r="Z513" i="1" s="1"/>
  <c r="B513" i="1" s="1"/>
  <c r="E513" i="1"/>
  <c r="Y512" i="1"/>
  <c r="Z512" i="1" s="1"/>
  <c r="E512" i="1"/>
  <c r="Y511" i="1"/>
  <c r="Z511" i="1" s="1"/>
  <c r="E511" i="1"/>
  <c r="Z510" i="1"/>
  <c r="Y510" i="1"/>
  <c r="E510" i="1"/>
  <c r="Y509" i="1"/>
  <c r="Z509" i="1" s="1"/>
  <c r="AB509" i="1" s="1"/>
  <c r="E509" i="1"/>
  <c r="B509" i="1"/>
  <c r="Z508" i="1"/>
  <c r="Y508" i="1"/>
  <c r="E508" i="1"/>
  <c r="Y507" i="1"/>
  <c r="Z507" i="1" s="1"/>
  <c r="AB507" i="1" s="1"/>
  <c r="E507" i="1"/>
  <c r="Z506" i="1"/>
  <c r="Y506" i="1"/>
  <c r="E506" i="1"/>
  <c r="Y505" i="1"/>
  <c r="Z505" i="1" s="1"/>
  <c r="B505" i="1" s="1"/>
  <c r="E505" i="1"/>
  <c r="Y504" i="1"/>
  <c r="E504" i="1"/>
  <c r="K498" i="1"/>
  <c r="F496" i="1"/>
  <c r="N487" i="1"/>
  <c r="H481" i="1"/>
  <c r="F481" i="1"/>
  <c r="B481" i="1"/>
  <c r="N484" i="1" s="1"/>
  <c r="G480" i="1"/>
  <c r="E480" i="1"/>
  <c r="G479" i="1"/>
  <c r="E479" i="1"/>
  <c r="G478" i="1"/>
  <c r="E478" i="1"/>
  <c r="G477" i="1"/>
  <c r="E477" i="1"/>
  <c r="E476" i="1"/>
  <c r="G476" i="1" s="1"/>
  <c r="E475" i="1"/>
  <c r="G475" i="1" s="1"/>
  <c r="G474" i="1"/>
  <c r="E474" i="1"/>
  <c r="G473" i="1"/>
  <c r="E473" i="1"/>
  <c r="G472" i="1"/>
  <c r="E472" i="1"/>
  <c r="G471" i="1"/>
  <c r="E471" i="1"/>
  <c r="E470" i="1"/>
  <c r="G470" i="1" s="1"/>
  <c r="E469" i="1"/>
  <c r="G469" i="1" s="1"/>
  <c r="K466" i="1"/>
  <c r="N483" i="1" s="1"/>
  <c r="K464" i="1"/>
  <c r="B464" i="1"/>
  <c r="F462" i="1"/>
  <c r="B462" i="1"/>
  <c r="AA439" i="1"/>
  <c r="X439" i="1"/>
  <c r="W439" i="1"/>
  <c r="V439" i="1"/>
  <c r="H439" i="1"/>
  <c r="L447" i="1" s="1"/>
  <c r="F439" i="1"/>
  <c r="L443" i="1" s="1"/>
  <c r="C439" i="1"/>
  <c r="Y438" i="1"/>
  <c r="Z438" i="1" s="1"/>
  <c r="AB438" i="1" s="1"/>
  <c r="E438" i="1"/>
  <c r="D438" i="1"/>
  <c r="G438" i="1" s="1"/>
  <c r="Y437" i="1"/>
  <c r="Z437" i="1" s="1"/>
  <c r="AB437" i="1" s="1"/>
  <c r="E437" i="1"/>
  <c r="D437" i="1"/>
  <c r="G437" i="1" s="1"/>
  <c r="Y436" i="1"/>
  <c r="Z436" i="1" s="1"/>
  <c r="E436" i="1"/>
  <c r="Y435" i="1"/>
  <c r="Z435" i="1" s="1"/>
  <c r="E435" i="1"/>
  <c r="Y434" i="1"/>
  <c r="Z434" i="1" s="1"/>
  <c r="E434" i="1"/>
  <c r="Z433" i="1"/>
  <c r="Y433" i="1"/>
  <c r="E433" i="1"/>
  <c r="Z432" i="1"/>
  <c r="Y432" i="1"/>
  <c r="E432" i="1"/>
  <c r="Y431" i="1"/>
  <c r="Z431" i="1" s="1"/>
  <c r="B431" i="1" s="1"/>
  <c r="E431" i="1"/>
  <c r="Y430" i="1"/>
  <c r="Z430" i="1" s="1"/>
  <c r="E430" i="1"/>
  <c r="Y429" i="1"/>
  <c r="Z429" i="1" s="1"/>
  <c r="E429" i="1"/>
  <c r="AB428" i="1"/>
  <c r="Z428" i="1"/>
  <c r="Y428" i="1"/>
  <c r="E428" i="1"/>
  <c r="B428" i="1"/>
  <c r="D428" i="1" s="1"/>
  <c r="Y427" i="1"/>
  <c r="E427" i="1"/>
  <c r="K421" i="1"/>
  <c r="F419" i="1"/>
  <c r="N411" i="1"/>
  <c r="N407" i="1"/>
  <c r="N410" i="1" s="1"/>
  <c r="H405" i="1"/>
  <c r="F405" i="1"/>
  <c r="B405" i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K390" i="1"/>
  <c r="K388" i="1"/>
  <c r="B388" i="1"/>
  <c r="F386" i="1"/>
  <c r="B386" i="1"/>
  <c r="H374" i="1"/>
  <c r="N380" i="1" s="1"/>
  <c r="F374" i="1"/>
  <c r="B374" i="1"/>
  <c r="E373" i="1"/>
  <c r="G373" i="1" s="1"/>
  <c r="G372" i="1"/>
  <c r="E372" i="1"/>
  <c r="E371" i="1"/>
  <c r="G371" i="1" s="1"/>
  <c r="E370" i="1"/>
  <c r="G370" i="1" s="1"/>
  <c r="E369" i="1"/>
  <c r="G369" i="1" s="1"/>
  <c r="E368" i="1"/>
  <c r="G368" i="1" s="1"/>
  <c r="E367" i="1"/>
  <c r="G367" i="1" s="1"/>
  <c r="G366" i="1"/>
  <c r="E366" i="1"/>
  <c r="E365" i="1"/>
  <c r="G365" i="1" s="1"/>
  <c r="E364" i="1"/>
  <c r="G364" i="1" s="1"/>
  <c r="E363" i="1"/>
  <c r="G363" i="1" s="1"/>
  <c r="E362" i="1"/>
  <c r="K357" i="1"/>
  <c r="B357" i="1"/>
  <c r="F355" i="1"/>
  <c r="B355" i="1"/>
  <c r="AA332" i="1"/>
  <c r="X332" i="1"/>
  <c r="W332" i="1"/>
  <c r="V332" i="1"/>
  <c r="H332" i="1"/>
  <c r="L340" i="1" s="1"/>
  <c r="K359" i="1" s="1"/>
  <c r="F332" i="1"/>
  <c r="L336" i="1" s="1"/>
  <c r="C332" i="1"/>
  <c r="B332" i="1"/>
  <c r="Y331" i="1"/>
  <c r="Z331" i="1" s="1"/>
  <c r="AB331" i="1" s="1"/>
  <c r="E331" i="1"/>
  <c r="D331" i="1"/>
  <c r="G331" i="1" s="1"/>
  <c r="Y330" i="1"/>
  <c r="Z330" i="1" s="1"/>
  <c r="AB330" i="1" s="1"/>
  <c r="E330" i="1"/>
  <c r="D330" i="1"/>
  <c r="G330" i="1" s="1"/>
  <c r="Y329" i="1"/>
  <c r="Z329" i="1" s="1"/>
  <c r="AB329" i="1" s="1"/>
  <c r="E329" i="1"/>
  <c r="D329" i="1"/>
  <c r="Z328" i="1"/>
  <c r="AB328" i="1" s="1"/>
  <c r="Y328" i="1"/>
  <c r="E328" i="1"/>
  <c r="D328" i="1"/>
  <c r="G328" i="1" s="1"/>
  <c r="Y327" i="1"/>
  <c r="Z327" i="1" s="1"/>
  <c r="AB327" i="1" s="1"/>
  <c r="E327" i="1"/>
  <c r="D327" i="1"/>
  <c r="Z326" i="1"/>
  <c r="AB326" i="1" s="1"/>
  <c r="Y326" i="1"/>
  <c r="E326" i="1"/>
  <c r="D326" i="1"/>
  <c r="Y325" i="1"/>
  <c r="Z325" i="1" s="1"/>
  <c r="AB325" i="1" s="1"/>
  <c r="E325" i="1"/>
  <c r="D325" i="1"/>
  <c r="Y324" i="1"/>
  <c r="Z324" i="1" s="1"/>
  <c r="AB324" i="1" s="1"/>
  <c r="E324" i="1"/>
  <c r="G324" i="1" s="1"/>
  <c r="D324" i="1"/>
  <c r="Y323" i="1"/>
  <c r="Z323" i="1" s="1"/>
  <c r="AB323" i="1" s="1"/>
  <c r="E323" i="1"/>
  <c r="D323" i="1"/>
  <c r="Y322" i="1"/>
  <c r="Z322" i="1" s="1"/>
  <c r="AB322" i="1" s="1"/>
  <c r="E322" i="1"/>
  <c r="D322" i="1"/>
  <c r="Y321" i="1"/>
  <c r="Z321" i="1" s="1"/>
  <c r="AB321" i="1" s="1"/>
  <c r="E321" i="1"/>
  <c r="D321" i="1"/>
  <c r="Y320" i="1"/>
  <c r="E320" i="1"/>
  <c r="D320" i="1"/>
  <c r="J320" i="1" s="1"/>
  <c r="K314" i="1"/>
  <c r="F312" i="1"/>
  <c r="AA289" i="1"/>
  <c r="X289" i="1"/>
  <c r="W289" i="1"/>
  <c r="V289" i="1"/>
  <c r="H289" i="1"/>
  <c r="L297" i="1" s="1"/>
  <c r="F289" i="1"/>
  <c r="L293" i="1" s="1"/>
  <c r="C289" i="1"/>
  <c r="B289" i="1"/>
  <c r="Z288" i="1"/>
  <c r="AB288" i="1" s="1"/>
  <c r="Y288" i="1"/>
  <c r="G288" i="1"/>
  <c r="E288" i="1"/>
  <c r="D288" i="1"/>
  <c r="Y287" i="1"/>
  <c r="Z287" i="1" s="1"/>
  <c r="AB287" i="1" s="1"/>
  <c r="E287" i="1"/>
  <c r="D287" i="1"/>
  <c r="G287" i="1" s="1"/>
  <c r="Z286" i="1"/>
  <c r="AB286" i="1" s="1"/>
  <c r="Y286" i="1"/>
  <c r="G286" i="1"/>
  <c r="E286" i="1"/>
  <c r="D286" i="1"/>
  <c r="Z285" i="1"/>
  <c r="AB285" i="1" s="1"/>
  <c r="Y285" i="1"/>
  <c r="E285" i="1"/>
  <c r="D285" i="1"/>
  <c r="G285" i="1" s="1"/>
  <c r="Z284" i="1"/>
  <c r="AB284" i="1" s="1"/>
  <c r="Y284" i="1"/>
  <c r="E284" i="1"/>
  <c r="D284" i="1"/>
  <c r="G284" i="1" s="1"/>
  <c r="Y283" i="1"/>
  <c r="Z283" i="1" s="1"/>
  <c r="AB283" i="1" s="1"/>
  <c r="G283" i="1"/>
  <c r="E283" i="1"/>
  <c r="D283" i="1"/>
  <c r="Y282" i="1"/>
  <c r="Z282" i="1" s="1"/>
  <c r="AB282" i="1" s="1"/>
  <c r="G282" i="1"/>
  <c r="E282" i="1"/>
  <c r="D282" i="1"/>
  <c r="Y281" i="1"/>
  <c r="Z281" i="1" s="1"/>
  <c r="AB281" i="1" s="1"/>
  <c r="E281" i="1"/>
  <c r="D281" i="1"/>
  <c r="G281" i="1" s="1"/>
  <c r="Y280" i="1"/>
  <c r="Z280" i="1" s="1"/>
  <c r="AB280" i="1" s="1"/>
  <c r="E280" i="1"/>
  <c r="D280" i="1"/>
  <c r="G280" i="1" s="1"/>
  <c r="Y279" i="1"/>
  <c r="Z279" i="1" s="1"/>
  <c r="AB279" i="1" s="1"/>
  <c r="E279" i="1"/>
  <c r="G279" i="1" s="1"/>
  <c r="D279" i="1"/>
  <c r="Z278" i="1"/>
  <c r="AB278" i="1" s="1"/>
  <c r="Y278" i="1"/>
  <c r="E278" i="1"/>
  <c r="D278" i="1"/>
  <c r="G278" i="1" s="1"/>
  <c r="Y277" i="1"/>
  <c r="Z277" i="1" s="1"/>
  <c r="E277" i="1"/>
  <c r="D277" i="1"/>
  <c r="D289" i="1" s="1"/>
  <c r="AA246" i="1"/>
  <c r="X246" i="1"/>
  <c r="W246" i="1"/>
  <c r="V246" i="1"/>
  <c r="H246" i="1"/>
  <c r="L254" i="1" s="1"/>
  <c r="F246" i="1"/>
  <c r="L250" i="1" s="1"/>
  <c r="C246" i="1"/>
  <c r="B246" i="1"/>
  <c r="L249" i="1" s="1"/>
  <c r="AB245" i="1"/>
  <c r="Y245" i="1"/>
  <c r="Z245" i="1" s="1"/>
  <c r="E245" i="1"/>
  <c r="D245" i="1"/>
  <c r="Y244" i="1"/>
  <c r="Z244" i="1" s="1"/>
  <c r="AB244" i="1" s="1"/>
  <c r="E244" i="1"/>
  <c r="D244" i="1"/>
  <c r="Y243" i="1"/>
  <c r="Z243" i="1" s="1"/>
  <c r="AB243" i="1" s="1"/>
  <c r="E243" i="1"/>
  <c r="D243" i="1"/>
  <c r="G243" i="1" s="1"/>
  <c r="Y242" i="1"/>
  <c r="Z242" i="1" s="1"/>
  <c r="AB242" i="1" s="1"/>
  <c r="E242" i="1"/>
  <c r="D242" i="1"/>
  <c r="AB241" i="1"/>
  <c r="Y241" i="1"/>
  <c r="Z241" i="1" s="1"/>
  <c r="E241" i="1"/>
  <c r="D241" i="1"/>
  <c r="Y240" i="1"/>
  <c r="Z240" i="1" s="1"/>
  <c r="AB240" i="1" s="1"/>
  <c r="E240" i="1"/>
  <c r="D240" i="1"/>
  <c r="Y239" i="1"/>
  <c r="Z239" i="1" s="1"/>
  <c r="AB239" i="1" s="1"/>
  <c r="E239" i="1"/>
  <c r="D239" i="1"/>
  <c r="G239" i="1" s="1"/>
  <c r="Y238" i="1"/>
  <c r="Z238" i="1" s="1"/>
  <c r="AB238" i="1" s="1"/>
  <c r="E238" i="1"/>
  <c r="D238" i="1"/>
  <c r="AB237" i="1"/>
  <c r="Y237" i="1"/>
  <c r="Z237" i="1" s="1"/>
  <c r="E237" i="1"/>
  <c r="G237" i="1" s="1"/>
  <c r="D237" i="1"/>
  <c r="Y236" i="1"/>
  <c r="Z236" i="1" s="1"/>
  <c r="AB236" i="1" s="1"/>
  <c r="E236" i="1"/>
  <c r="D236" i="1"/>
  <c r="Y235" i="1"/>
  <c r="Z235" i="1" s="1"/>
  <c r="AB235" i="1" s="1"/>
  <c r="E235" i="1"/>
  <c r="D235" i="1"/>
  <c r="G235" i="1" s="1"/>
  <c r="Y234" i="1"/>
  <c r="E234" i="1"/>
  <c r="D234" i="1"/>
  <c r="AA203" i="1"/>
  <c r="X203" i="1"/>
  <c r="W203" i="1"/>
  <c r="V203" i="1"/>
  <c r="H203" i="1"/>
  <c r="L211" i="1" s="1"/>
  <c r="F203" i="1"/>
  <c r="L207" i="1" s="1"/>
  <c r="C203" i="1"/>
  <c r="B203" i="1"/>
  <c r="Y202" i="1"/>
  <c r="Z202" i="1" s="1"/>
  <c r="AB202" i="1" s="1"/>
  <c r="E202" i="1"/>
  <c r="D202" i="1"/>
  <c r="Y201" i="1"/>
  <c r="Z201" i="1" s="1"/>
  <c r="AB201" i="1" s="1"/>
  <c r="E201" i="1"/>
  <c r="D201" i="1"/>
  <c r="G201" i="1" s="1"/>
  <c r="Y200" i="1"/>
  <c r="Z200" i="1" s="1"/>
  <c r="AB200" i="1" s="1"/>
  <c r="E200" i="1"/>
  <c r="D200" i="1"/>
  <c r="G200" i="1" s="1"/>
  <c r="Y199" i="1"/>
  <c r="Z199" i="1" s="1"/>
  <c r="AB199" i="1" s="1"/>
  <c r="E199" i="1"/>
  <c r="D199" i="1"/>
  <c r="Y198" i="1"/>
  <c r="Z198" i="1" s="1"/>
  <c r="AB198" i="1" s="1"/>
  <c r="E198" i="1"/>
  <c r="D198" i="1"/>
  <c r="Y197" i="1"/>
  <c r="Z197" i="1" s="1"/>
  <c r="AB197" i="1" s="1"/>
  <c r="E197" i="1"/>
  <c r="D197" i="1"/>
  <c r="G197" i="1" s="1"/>
  <c r="Y196" i="1"/>
  <c r="Z196" i="1" s="1"/>
  <c r="AB196" i="1" s="1"/>
  <c r="E196" i="1"/>
  <c r="D196" i="1"/>
  <c r="G196" i="1" s="1"/>
  <c r="Y195" i="1"/>
  <c r="Z195" i="1" s="1"/>
  <c r="AB195" i="1" s="1"/>
  <c r="E195" i="1"/>
  <c r="D195" i="1"/>
  <c r="Y194" i="1"/>
  <c r="Z194" i="1" s="1"/>
  <c r="AB194" i="1" s="1"/>
  <c r="E194" i="1"/>
  <c r="D194" i="1"/>
  <c r="Y193" i="1"/>
  <c r="Z193" i="1" s="1"/>
  <c r="AB193" i="1" s="1"/>
  <c r="E193" i="1"/>
  <c r="D193" i="1"/>
  <c r="G193" i="1" s="1"/>
  <c r="Y192" i="1"/>
  <c r="Z192" i="1" s="1"/>
  <c r="AB192" i="1" s="1"/>
  <c r="E192" i="1"/>
  <c r="D192" i="1"/>
  <c r="G192" i="1" s="1"/>
  <c r="Y191" i="1"/>
  <c r="E191" i="1"/>
  <c r="D191" i="1"/>
  <c r="AA160" i="1"/>
  <c r="X160" i="1"/>
  <c r="W160" i="1"/>
  <c r="V160" i="1"/>
  <c r="H160" i="1"/>
  <c r="L168" i="1" s="1"/>
  <c r="F160" i="1"/>
  <c r="L164" i="1" s="1"/>
  <c r="C160" i="1"/>
  <c r="B160" i="1"/>
  <c r="L163" i="1" s="1"/>
  <c r="Y159" i="1"/>
  <c r="Z159" i="1" s="1"/>
  <c r="AB159" i="1" s="1"/>
  <c r="E159" i="1"/>
  <c r="D159" i="1"/>
  <c r="G159" i="1" s="1"/>
  <c r="Z158" i="1"/>
  <c r="AB158" i="1" s="1"/>
  <c r="Y158" i="1"/>
  <c r="E158" i="1"/>
  <c r="D158" i="1"/>
  <c r="G158" i="1" s="1"/>
  <c r="Y157" i="1"/>
  <c r="Z157" i="1" s="1"/>
  <c r="AB157" i="1" s="1"/>
  <c r="E157" i="1"/>
  <c r="D157" i="1"/>
  <c r="G157" i="1" s="1"/>
  <c r="Y156" i="1"/>
  <c r="Z156" i="1" s="1"/>
  <c r="AB156" i="1" s="1"/>
  <c r="E156" i="1"/>
  <c r="D156" i="1"/>
  <c r="G156" i="1" s="1"/>
  <c r="Z155" i="1"/>
  <c r="AB155" i="1" s="1"/>
  <c r="Y155" i="1"/>
  <c r="E155" i="1"/>
  <c r="D155" i="1"/>
  <c r="G155" i="1" s="1"/>
  <c r="Y154" i="1"/>
  <c r="Z154" i="1" s="1"/>
  <c r="AB154" i="1" s="1"/>
  <c r="E154" i="1"/>
  <c r="D154" i="1"/>
  <c r="G154" i="1" s="1"/>
  <c r="Y153" i="1"/>
  <c r="Z153" i="1" s="1"/>
  <c r="AB153" i="1" s="1"/>
  <c r="E153" i="1"/>
  <c r="D153" i="1"/>
  <c r="G153" i="1" s="1"/>
  <c r="Z152" i="1"/>
  <c r="AB152" i="1" s="1"/>
  <c r="Y152" i="1"/>
  <c r="E152" i="1"/>
  <c r="D152" i="1"/>
  <c r="G152" i="1" s="1"/>
  <c r="Y151" i="1"/>
  <c r="Z151" i="1" s="1"/>
  <c r="AB151" i="1" s="1"/>
  <c r="E151" i="1"/>
  <c r="D151" i="1"/>
  <c r="G151" i="1" s="1"/>
  <c r="Y150" i="1"/>
  <c r="Z150" i="1" s="1"/>
  <c r="AB150" i="1" s="1"/>
  <c r="E150" i="1"/>
  <c r="D150" i="1"/>
  <c r="G150" i="1" s="1"/>
  <c r="Z149" i="1"/>
  <c r="AB149" i="1" s="1"/>
  <c r="Y149" i="1"/>
  <c r="E149" i="1"/>
  <c r="D149" i="1"/>
  <c r="G149" i="1" s="1"/>
  <c r="Y148" i="1"/>
  <c r="Z148" i="1" s="1"/>
  <c r="AB148" i="1" s="1"/>
  <c r="E148" i="1"/>
  <c r="E160" i="1" s="1"/>
  <c r="D148" i="1"/>
  <c r="J148" i="1" s="1"/>
  <c r="M148" i="1" s="1"/>
  <c r="AA117" i="1"/>
  <c r="X117" i="1"/>
  <c r="W117" i="1"/>
  <c r="V117" i="1"/>
  <c r="H117" i="1"/>
  <c r="L125" i="1" s="1"/>
  <c r="F117" i="1"/>
  <c r="L121" i="1" s="1"/>
  <c r="C117" i="1"/>
  <c r="L120" i="1" s="1"/>
  <c r="B117" i="1"/>
  <c r="Y116" i="1"/>
  <c r="Z116" i="1" s="1"/>
  <c r="AB116" i="1" s="1"/>
  <c r="E116" i="1"/>
  <c r="D116" i="1"/>
  <c r="G116" i="1" s="1"/>
  <c r="Y115" i="1"/>
  <c r="Z115" i="1" s="1"/>
  <c r="AB115" i="1" s="1"/>
  <c r="E115" i="1"/>
  <c r="D115" i="1"/>
  <c r="Y114" i="1"/>
  <c r="Z114" i="1" s="1"/>
  <c r="AB114" i="1" s="1"/>
  <c r="E114" i="1"/>
  <c r="D114" i="1"/>
  <c r="G114" i="1" s="1"/>
  <c r="Y113" i="1"/>
  <c r="Z113" i="1" s="1"/>
  <c r="AB113" i="1" s="1"/>
  <c r="E113" i="1"/>
  <c r="D113" i="1"/>
  <c r="Y112" i="1"/>
  <c r="Z112" i="1" s="1"/>
  <c r="AB112" i="1" s="1"/>
  <c r="E112" i="1"/>
  <c r="D112" i="1"/>
  <c r="G112" i="1" s="1"/>
  <c r="Y111" i="1"/>
  <c r="Z111" i="1" s="1"/>
  <c r="AB111" i="1" s="1"/>
  <c r="E111" i="1"/>
  <c r="G111" i="1" s="1"/>
  <c r="D111" i="1"/>
  <c r="Y110" i="1"/>
  <c r="Z110" i="1" s="1"/>
  <c r="AB110" i="1" s="1"/>
  <c r="E110" i="1"/>
  <c r="D110" i="1"/>
  <c r="Y109" i="1"/>
  <c r="Z109" i="1" s="1"/>
  <c r="AB109" i="1" s="1"/>
  <c r="E109" i="1"/>
  <c r="G109" i="1" s="1"/>
  <c r="D109" i="1"/>
  <c r="Y108" i="1"/>
  <c r="Z108" i="1" s="1"/>
  <c r="AB108" i="1" s="1"/>
  <c r="E108" i="1"/>
  <c r="D108" i="1"/>
  <c r="Y107" i="1"/>
  <c r="Z107" i="1" s="1"/>
  <c r="AB107" i="1" s="1"/>
  <c r="E107" i="1"/>
  <c r="G107" i="1" s="1"/>
  <c r="D107" i="1"/>
  <c r="Y106" i="1"/>
  <c r="Z106" i="1" s="1"/>
  <c r="AB106" i="1" s="1"/>
  <c r="E106" i="1"/>
  <c r="D106" i="1"/>
  <c r="Y105" i="1"/>
  <c r="Z105" i="1" s="1"/>
  <c r="E105" i="1"/>
  <c r="G105" i="1" s="1"/>
  <c r="D105" i="1"/>
  <c r="AA73" i="1"/>
  <c r="X73" i="1"/>
  <c r="W73" i="1"/>
  <c r="V73" i="1"/>
  <c r="H73" i="1"/>
  <c r="L81" i="1" s="1"/>
  <c r="F73" i="1"/>
  <c r="L77" i="1" s="1"/>
  <c r="B73" i="1"/>
  <c r="Y72" i="1"/>
  <c r="Z72" i="1" s="1"/>
  <c r="D72" i="1"/>
  <c r="AB71" i="1"/>
  <c r="Y71" i="1"/>
  <c r="Z71" i="1" s="1"/>
  <c r="D71" i="1"/>
  <c r="C71" i="1"/>
  <c r="Z70" i="1"/>
  <c r="AB70" i="1" s="1"/>
  <c r="Y70" i="1"/>
  <c r="D70" i="1"/>
  <c r="Y69" i="1"/>
  <c r="Z69" i="1" s="1"/>
  <c r="D69" i="1"/>
  <c r="Y68" i="1"/>
  <c r="Z68" i="1" s="1"/>
  <c r="AB68" i="1" s="1"/>
  <c r="D68" i="1"/>
  <c r="Y67" i="1"/>
  <c r="Z67" i="1" s="1"/>
  <c r="D67" i="1"/>
  <c r="Z66" i="1"/>
  <c r="AB66" i="1" s="1"/>
  <c r="Y66" i="1"/>
  <c r="D66" i="1"/>
  <c r="Y65" i="1"/>
  <c r="Z65" i="1" s="1"/>
  <c r="D65" i="1"/>
  <c r="Z64" i="1"/>
  <c r="AB64" i="1" s="1"/>
  <c r="Y64" i="1"/>
  <c r="D64" i="1"/>
  <c r="Y63" i="1"/>
  <c r="Z63" i="1" s="1"/>
  <c r="D63" i="1"/>
  <c r="Z62" i="1"/>
  <c r="AB62" i="1" s="1"/>
  <c r="Y62" i="1"/>
  <c r="D62" i="1"/>
  <c r="Y61" i="1"/>
  <c r="D61" i="1"/>
  <c r="I55" i="1"/>
  <c r="I99" i="1" s="1"/>
  <c r="F55" i="1"/>
  <c r="F99" i="1" s="1"/>
  <c r="F142" i="1" s="1"/>
  <c r="F185" i="1" s="1"/>
  <c r="F228" i="1" s="1"/>
  <c r="F271" i="1" s="1"/>
  <c r="F314" i="1" s="1"/>
  <c r="F421" i="1" s="1"/>
  <c r="F498" i="1" s="1"/>
  <c r="B55" i="1"/>
  <c r="B99" i="1" s="1"/>
  <c r="B142" i="1" s="1"/>
  <c r="B185" i="1" s="1"/>
  <c r="B228" i="1" s="1"/>
  <c r="B271" i="1" s="1"/>
  <c r="B314" i="1" s="1"/>
  <c r="B421" i="1" s="1"/>
  <c r="B498" i="1" s="1"/>
  <c r="H53" i="1"/>
  <c r="H97" i="1" s="1"/>
  <c r="B53" i="1"/>
  <c r="B97" i="1" s="1"/>
  <c r="B140" i="1" s="1"/>
  <c r="B183" i="1" s="1"/>
  <c r="B226" i="1" s="1"/>
  <c r="B269" i="1" s="1"/>
  <c r="B312" i="1" s="1"/>
  <c r="B419" i="1" s="1"/>
  <c r="B496" i="1" s="1"/>
  <c r="L32" i="1"/>
  <c r="L30" i="1"/>
  <c r="AA28" i="1"/>
  <c r="X28" i="1"/>
  <c r="W28" i="1"/>
  <c r="V28" i="1"/>
  <c r="H28" i="1"/>
  <c r="L36" i="1" s="1"/>
  <c r="F28" i="1"/>
  <c r="Y27" i="1"/>
  <c r="Z27" i="1" s="1"/>
  <c r="D27" i="1"/>
  <c r="Z26" i="1"/>
  <c r="AB26" i="1" s="1"/>
  <c r="Y26" i="1"/>
  <c r="D26" i="1"/>
  <c r="Y25" i="1"/>
  <c r="Z25" i="1" s="1"/>
  <c r="D25" i="1"/>
  <c r="Y24" i="1"/>
  <c r="Z24" i="1" s="1"/>
  <c r="AB24" i="1" s="1"/>
  <c r="D24" i="1"/>
  <c r="Y23" i="1"/>
  <c r="Z23" i="1" s="1"/>
  <c r="D23" i="1"/>
  <c r="Y22" i="1"/>
  <c r="Z22" i="1" s="1"/>
  <c r="AB22" i="1" s="1"/>
  <c r="D22" i="1"/>
  <c r="Y21" i="1"/>
  <c r="Z21" i="1" s="1"/>
  <c r="E21" i="1"/>
  <c r="Y20" i="1"/>
  <c r="Z20" i="1" s="1"/>
  <c r="AB20" i="1" s="1"/>
  <c r="D20" i="1"/>
  <c r="Y19" i="1"/>
  <c r="Z19" i="1" s="1"/>
  <c r="D19" i="1"/>
  <c r="Z18" i="1"/>
  <c r="AB18" i="1" s="1"/>
  <c r="Y18" i="1"/>
  <c r="D18" i="1"/>
  <c r="Y17" i="1"/>
  <c r="Z17" i="1" s="1"/>
  <c r="D17" i="1"/>
  <c r="Y16" i="1"/>
  <c r="Z16" i="1" s="1"/>
  <c r="AB16" i="1" s="1"/>
  <c r="D16" i="1"/>
  <c r="AB435" i="1" l="1"/>
  <c r="B435" i="1"/>
  <c r="D435" i="1" s="1"/>
  <c r="G481" i="1"/>
  <c r="L295" i="1"/>
  <c r="G321" i="1"/>
  <c r="E481" i="1"/>
  <c r="N485" i="1" s="1"/>
  <c r="N486" i="1" s="1"/>
  <c r="G106" i="1"/>
  <c r="G117" i="1" s="1"/>
  <c r="G110" i="1"/>
  <c r="G514" i="1"/>
  <c r="AB431" i="1"/>
  <c r="AB505" i="1"/>
  <c r="AB513" i="1"/>
  <c r="G194" i="1"/>
  <c r="G198" i="1"/>
  <c r="G202" i="1"/>
  <c r="G322" i="1"/>
  <c r="G325" i="1"/>
  <c r="E117" i="1"/>
  <c r="Y28" i="1"/>
  <c r="L122" i="1"/>
  <c r="G115" i="1"/>
  <c r="Y160" i="1"/>
  <c r="Y289" i="1"/>
  <c r="L335" i="1"/>
  <c r="L337" i="1" s="1"/>
  <c r="B507" i="1"/>
  <c r="D507" i="1" s="1"/>
  <c r="G507" i="1" s="1"/>
  <c r="G236" i="1"/>
  <c r="J191" i="1"/>
  <c r="G195" i="1"/>
  <c r="G199" i="1"/>
  <c r="G326" i="1"/>
  <c r="D332" i="1"/>
  <c r="E439" i="1"/>
  <c r="E516" i="1"/>
  <c r="G515" i="1"/>
  <c r="E203" i="1"/>
  <c r="E374" i="1"/>
  <c r="N378" i="1" s="1"/>
  <c r="Y73" i="1"/>
  <c r="G108" i="1"/>
  <c r="E289" i="1"/>
  <c r="L292" i="1"/>
  <c r="L294" i="1" s="1"/>
  <c r="G323" i="1"/>
  <c r="G362" i="1"/>
  <c r="G374" i="1" s="1"/>
  <c r="G277" i="1"/>
  <c r="G289" i="1" s="1"/>
  <c r="Y516" i="1"/>
  <c r="N560" i="1"/>
  <c r="D117" i="1"/>
  <c r="L123" i="1" s="1"/>
  <c r="G113" i="1"/>
  <c r="J277" i="1"/>
  <c r="J278" i="1" s="1"/>
  <c r="M278" i="1" s="1"/>
  <c r="G327" i="1"/>
  <c r="Z504" i="1"/>
  <c r="G545" i="1"/>
  <c r="G557" i="1" s="1"/>
  <c r="AB23" i="1"/>
  <c r="C23" i="1"/>
  <c r="H140" i="1"/>
  <c r="H183" i="1" s="1"/>
  <c r="H226" i="1" s="1"/>
  <c r="H269" i="1" s="1"/>
  <c r="H312" i="1" s="1"/>
  <c r="H419" i="1" s="1"/>
  <c r="H496" i="1" s="1"/>
  <c r="F140" i="1"/>
  <c r="F183" i="1" s="1"/>
  <c r="F226" i="1" s="1"/>
  <c r="F269" i="1" s="1"/>
  <c r="AB67" i="1"/>
  <c r="C67" i="1"/>
  <c r="B21" i="1"/>
  <c r="AB21" i="1"/>
  <c r="Z28" i="1"/>
  <c r="AB17" i="1"/>
  <c r="C17" i="1"/>
  <c r="C25" i="1"/>
  <c r="AB25" i="1"/>
  <c r="AB69" i="1"/>
  <c r="C69" i="1"/>
  <c r="G71" i="1"/>
  <c r="AB65" i="1"/>
  <c r="C65" i="1"/>
  <c r="AB19" i="1"/>
  <c r="C19" i="1"/>
  <c r="AB27" i="1"/>
  <c r="C27" i="1"/>
  <c r="C63" i="1"/>
  <c r="AB63" i="1"/>
  <c r="C18" i="1"/>
  <c r="C22" i="1"/>
  <c r="C26" i="1"/>
  <c r="Z61" i="1"/>
  <c r="C64" i="1"/>
  <c r="C68" i="1"/>
  <c r="D73" i="1"/>
  <c r="Y203" i="1"/>
  <c r="Z191" i="1"/>
  <c r="L251" i="1"/>
  <c r="Z289" i="1"/>
  <c r="AB277" i="1"/>
  <c r="AB289" i="1" s="1"/>
  <c r="K142" i="1"/>
  <c r="K185" i="1" s="1"/>
  <c r="K228" i="1" s="1"/>
  <c r="K271" i="1" s="1"/>
  <c r="I142" i="1"/>
  <c r="I185" i="1" s="1"/>
  <c r="I228" i="1" s="1"/>
  <c r="I271" i="1" s="1"/>
  <c r="I314" i="1" s="1"/>
  <c r="I421" i="1" s="1"/>
  <c r="I498" i="1" s="1"/>
  <c r="E71" i="1"/>
  <c r="Z117" i="1"/>
  <c r="D160" i="1"/>
  <c r="L166" i="1" s="1"/>
  <c r="G148" i="1"/>
  <c r="G160" i="1" s="1"/>
  <c r="J149" i="1"/>
  <c r="L165" i="1"/>
  <c r="J192" i="1"/>
  <c r="M191" i="1"/>
  <c r="E246" i="1"/>
  <c r="J321" i="1"/>
  <c r="M320" i="1"/>
  <c r="C16" i="1"/>
  <c r="C20" i="1"/>
  <c r="C24" i="1"/>
  <c r="C62" i="1"/>
  <c r="C66" i="1"/>
  <c r="C70" i="1"/>
  <c r="AB72" i="1"/>
  <c r="C72" i="1"/>
  <c r="AB105" i="1"/>
  <c r="AB117" i="1" s="1"/>
  <c r="AB160" i="1"/>
  <c r="J105" i="1"/>
  <c r="Y117" i="1"/>
  <c r="Z160" i="1"/>
  <c r="G191" i="1"/>
  <c r="G203" i="1" s="1"/>
  <c r="D203" i="1"/>
  <c r="L209" i="1" s="1"/>
  <c r="J234" i="1"/>
  <c r="G238" i="1"/>
  <c r="G242" i="1"/>
  <c r="G329" i="1"/>
  <c r="N376" i="1"/>
  <c r="K362" i="1"/>
  <c r="Y246" i="1"/>
  <c r="Z234" i="1"/>
  <c r="G241" i="1"/>
  <c r="G245" i="1"/>
  <c r="L206" i="1"/>
  <c r="L208" i="1" s="1"/>
  <c r="G240" i="1"/>
  <c r="G244" i="1"/>
  <c r="G234" i="1"/>
  <c r="D246" i="1"/>
  <c r="B436" i="1"/>
  <c r="AB436" i="1"/>
  <c r="D505" i="1"/>
  <c r="G505" i="1" s="1"/>
  <c r="E332" i="1"/>
  <c r="L338" i="1" s="1"/>
  <c r="Y332" i="1"/>
  <c r="AB429" i="1"/>
  <c r="B429" i="1"/>
  <c r="D431" i="1"/>
  <c r="G431" i="1" s="1"/>
  <c r="AB432" i="1"/>
  <c r="B432" i="1"/>
  <c r="D509" i="1"/>
  <c r="G509" i="1" s="1"/>
  <c r="D513" i="1"/>
  <c r="G513" i="1"/>
  <c r="G320" i="1"/>
  <c r="Z320" i="1"/>
  <c r="N408" i="1"/>
  <c r="G428" i="1"/>
  <c r="AB434" i="1"/>
  <c r="B434" i="1"/>
  <c r="AB506" i="1"/>
  <c r="B506" i="1"/>
  <c r="B511" i="1"/>
  <c r="AB511" i="1"/>
  <c r="N377" i="1"/>
  <c r="G435" i="1"/>
  <c r="E405" i="1"/>
  <c r="N409" i="1" s="1"/>
  <c r="G393" i="1"/>
  <c r="AB430" i="1"/>
  <c r="B430" i="1"/>
  <c r="AB433" i="1"/>
  <c r="B433" i="1"/>
  <c r="Y439" i="1"/>
  <c r="AB504" i="1"/>
  <c r="B504" i="1"/>
  <c r="AB512" i="1"/>
  <c r="B512" i="1"/>
  <c r="N562" i="1"/>
  <c r="Z427" i="1"/>
  <c r="K469" i="1"/>
  <c r="AB510" i="1"/>
  <c r="B510" i="1"/>
  <c r="Z516" i="1"/>
  <c r="K545" i="1"/>
  <c r="AB508" i="1"/>
  <c r="B508" i="1"/>
  <c r="J279" i="1" l="1"/>
  <c r="M279" i="1" s="1"/>
  <c r="M277" i="1"/>
  <c r="G246" i="1"/>
  <c r="AB28" i="1"/>
  <c r="AI12" i="1" s="1"/>
  <c r="AK12" i="1" s="1"/>
  <c r="D512" i="1"/>
  <c r="G512" i="1" s="1"/>
  <c r="G405" i="1"/>
  <c r="K393" i="1"/>
  <c r="E70" i="1"/>
  <c r="G70" i="1" s="1"/>
  <c r="E20" i="1"/>
  <c r="G20" i="1" s="1"/>
  <c r="J322" i="1"/>
  <c r="M321" i="1"/>
  <c r="J193" i="1"/>
  <c r="M192" i="1"/>
  <c r="M149" i="1"/>
  <c r="J150" i="1"/>
  <c r="E68" i="1"/>
  <c r="G68" i="1" s="1"/>
  <c r="E22" i="1"/>
  <c r="G22" i="1" s="1"/>
  <c r="E63" i="1"/>
  <c r="G63" i="1" s="1"/>
  <c r="E25" i="1"/>
  <c r="G25" i="1" s="1"/>
  <c r="E23" i="1"/>
  <c r="G23" i="1" s="1"/>
  <c r="K546" i="1"/>
  <c r="N545" i="1"/>
  <c r="K470" i="1"/>
  <c r="N469" i="1"/>
  <c r="AB516" i="1"/>
  <c r="D511" i="1"/>
  <c r="G511" i="1" s="1"/>
  <c r="G332" i="1"/>
  <c r="E66" i="1"/>
  <c r="G66" i="1" s="1"/>
  <c r="I16" i="1"/>
  <c r="C28" i="1"/>
  <c r="E16" i="1"/>
  <c r="G16" i="1" s="1"/>
  <c r="AB191" i="1"/>
  <c r="AB203" i="1" s="1"/>
  <c r="Z203" i="1"/>
  <c r="E64" i="1"/>
  <c r="G64" i="1" s="1"/>
  <c r="E18" i="1"/>
  <c r="G18" i="1" s="1"/>
  <c r="E27" i="1"/>
  <c r="G27" i="1" s="1"/>
  <c r="E65" i="1"/>
  <c r="G65" i="1" s="1"/>
  <c r="E69" i="1"/>
  <c r="G69" i="1" s="1"/>
  <c r="E17" i="1"/>
  <c r="G17" i="1" s="1"/>
  <c r="D433" i="1"/>
  <c r="G433" i="1" s="1"/>
  <c r="D434" i="1"/>
  <c r="G434" i="1" s="1"/>
  <c r="Z439" i="1"/>
  <c r="AB427" i="1"/>
  <c r="AB439" i="1" s="1"/>
  <c r="B427" i="1"/>
  <c r="D429" i="1"/>
  <c r="G429" i="1"/>
  <c r="D436" i="1"/>
  <c r="G436" i="1"/>
  <c r="N362" i="1"/>
  <c r="K363" i="1"/>
  <c r="E72" i="1"/>
  <c r="G72" i="1" s="1"/>
  <c r="E62" i="1"/>
  <c r="G62" i="1" s="1"/>
  <c r="Z73" i="1"/>
  <c r="AB61" i="1"/>
  <c r="AB73" i="1" s="1"/>
  <c r="C61" i="1"/>
  <c r="B28" i="1"/>
  <c r="D21" i="1"/>
  <c r="D28" i="1" s="1"/>
  <c r="B516" i="1"/>
  <c r="L519" i="1" s="1"/>
  <c r="L521" i="1" s="1"/>
  <c r="D504" i="1"/>
  <c r="G504" i="1"/>
  <c r="Z332" i="1"/>
  <c r="AB320" i="1"/>
  <c r="AB332" i="1" s="1"/>
  <c r="AB234" i="1"/>
  <c r="AB246" i="1" s="1"/>
  <c r="Z246" i="1"/>
  <c r="J106" i="1"/>
  <c r="M105" i="1"/>
  <c r="D430" i="1"/>
  <c r="G430" i="1" s="1"/>
  <c r="D506" i="1"/>
  <c r="G506" i="1" s="1"/>
  <c r="D432" i="1"/>
  <c r="G432" i="1"/>
  <c r="D508" i="1"/>
  <c r="G508" i="1" s="1"/>
  <c r="D510" i="1"/>
  <c r="G510" i="1"/>
  <c r="L252" i="1"/>
  <c r="N379" i="1"/>
  <c r="J235" i="1"/>
  <c r="M234" i="1"/>
  <c r="E24" i="1"/>
  <c r="G24" i="1" s="1"/>
  <c r="E26" i="1"/>
  <c r="G26" i="1"/>
  <c r="E19" i="1"/>
  <c r="G19" i="1" s="1"/>
  <c r="E67" i="1"/>
  <c r="G67" i="1" s="1"/>
  <c r="AI101" i="1" l="1"/>
  <c r="AK101" i="1" s="1"/>
  <c r="J280" i="1"/>
  <c r="L31" i="1"/>
  <c r="L33" i="1" s="1"/>
  <c r="K16" i="1"/>
  <c r="J194" i="1"/>
  <c r="M193" i="1"/>
  <c r="J236" i="1"/>
  <c r="M235" i="1"/>
  <c r="D516" i="1"/>
  <c r="L522" i="1" s="1"/>
  <c r="J504" i="1"/>
  <c r="AI57" i="1"/>
  <c r="AK57" i="1" s="1"/>
  <c r="N363" i="1"/>
  <c r="K364" i="1"/>
  <c r="L16" i="1"/>
  <c r="I17" i="1"/>
  <c r="M150" i="1"/>
  <c r="J151" i="1"/>
  <c r="B439" i="1"/>
  <c r="L442" i="1" s="1"/>
  <c r="L444" i="1" s="1"/>
  <c r="D427" i="1"/>
  <c r="G427" i="1" s="1"/>
  <c r="G439" i="1" s="1"/>
  <c r="K405" i="1"/>
  <c r="K394" i="1"/>
  <c r="N393" i="1"/>
  <c r="N405" i="1" s="1"/>
  <c r="N412" i="1" s="1"/>
  <c r="N413" i="1" s="1"/>
  <c r="J107" i="1"/>
  <c r="M106" i="1"/>
  <c r="G21" i="1"/>
  <c r="G28" i="1" s="1"/>
  <c r="E28" i="1"/>
  <c r="L34" i="1" s="1"/>
  <c r="L35" i="1" s="1"/>
  <c r="J16" i="1"/>
  <c r="K547" i="1"/>
  <c r="N546" i="1"/>
  <c r="M322" i="1"/>
  <c r="J323" i="1"/>
  <c r="G516" i="1"/>
  <c r="C73" i="1"/>
  <c r="L76" i="1" s="1"/>
  <c r="L78" i="1" s="1"/>
  <c r="E61" i="1"/>
  <c r="G61" i="1" s="1"/>
  <c r="G73" i="1" s="1"/>
  <c r="M280" i="1"/>
  <c r="J281" i="1"/>
  <c r="K471" i="1"/>
  <c r="N470" i="1"/>
  <c r="M16" i="1" l="1"/>
  <c r="J17" i="1"/>
  <c r="K395" i="1"/>
  <c r="N394" i="1"/>
  <c r="L17" i="1"/>
  <c r="I18" i="1"/>
  <c r="J505" i="1"/>
  <c r="M504" i="1"/>
  <c r="K17" i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J108" i="1"/>
  <c r="M107" i="1"/>
  <c r="M151" i="1"/>
  <c r="J152" i="1"/>
  <c r="N16" i="1"/>
  <c r="N364" i="1"/>
  <c r="K365" i="1"/>
  <c r="J237" i="1"/>
  <c r="M236" i="1"/>
  <c r="K472" i="1"/>
  <c r="N471" i="1"/>
  <c r="M281" i="1"/>
  <c r="J282" i="1"/>
  <c r="M323" i="1"/>
  <c r="J324" i="1"/>
  <c r="K548" i="1"/>
  <c r="N547" i="1"/>
  <c r="D439" i="1"/>
  <c r="L445" i="1" s="1"/>
  <c r="J427" i="1"/>
  <c r="J195" i="1"/>
  <c r="M194" i="1"/>
  <c r="E73" i="1"/>
  <c r="L79" i="1" s="1"/>
  <c r="J61" i="1"/>
  <c r="J18" i="1" l="1"/>
  <c r="M17" i="1"/>
  <c r="N17" i="1"/>
  <c r="J428" i="1"/>
  <c r="M427" i="1"/>
  <c r="K473" i="1"/>
  <c r="N472" i="1"/>
  <c r="J109" i="1"/>
  <c r="M108" i="1"/>
  <c r="M505" i="1"/>
  <c r="J506" i="1"/>
  <c r="M61" i="1"/>
  <c r="J62" i="1"/>
  <c r="J196" i="1"/>
  <c r="M195" i="1"/>
  <c r="J238" i="1"/>
  <c r="M237" i="1"/>
  <c r="I19" i="1"/>
  <c r="L18" i="1"/>
  <c r="M324" i="1"/>
  <c r="J325" i="1"/>
  <c r="N365" i="1"/>
  <c r="K366" i="1"/>
  <c r="K549" i="1"/>
  <c r="N548" i="1"/>
  <c r="M282" i="1"/>
  <c r="J283" i="1"/>
  <c r="M152" i="1"/>
  <c r="J153" i="1"/>
  <c r="K28" i="1"/>
  <c r="N395" i="1"/>
  <c r="K396" i="1"/>
  <c r="M62" i="1" l="1"/>
  <c r="J63" i="1"/>
  <c r="M153" i="1"/>
  <c r="J154" i="1"/>
  <c r="I20" i="1"/>
  <c r="L19" i="1"/>
  <c r="J429" i="1"/>
  <c r="M428" i="1"/>
  <c r="J19" i="1"/>
  <c r="M18" i="1"/>
  <c r="J239" i="1"/>
  <c r="M238" i="1"/>
  <c r="J110" i="1"/>
  <c r="M109" i="1"/>
  <c r="N366" i="1"/>
  <c r="K367" i="1"/>
  <c r="M506" i="1"/>
  <c r="J507" i="1"/>
  <c r="N396" i="1"/>
  <c r="K397" i="1"/>
  <c r="K550" i="1"/>
  <c r="N549" i="1"/>
  <c r="M325" i="1"/>
  <c r="J326" i="1"/>
  <c r="J284" i="1"/>
  <c r="M283" i="1"/>
  <c r="J197" i="1"/>
  <c r="M196" i="1"/>
  <c r="K474" i="1"/>
  <c r="N473" i="1"/>
  <c r="K475" i="1" l="1"/>
  <c r="N474" i="1"/>
  <c r="M326" i="1"/>
  <c r="J327" i="1"/>
  <c r="K551" i="1"/>
  <c r="N550" i="1"/>
  <c r="J508" i="1"/>
  <c r="M507" i="1"/>
  <c r="M19" i="1"/>
  <c r="N19" i="1" s="1"/>
  <c r="J20" i="1"/>
  <c r="N18" i="1"/>
  <c r="J111" i="1"/>
  <c r="M110" i="1"/>
  <c r="K398" i="1"/>
  <c r="N397" i="1"/>
  <c r="L20" i="1"/>
  <c r="I21" i="1"/>
  <c r="M63" i="1"/>
  <c r="J64" i="1"/>
  <c r="J198" i="1"/>
  <c r="M197" i="1"/>
  <c r="J285" i="1"/>
  <c r="M284" i="1"/>
  <c r="N367" i="1"/>
  <c r="K368" i="1"/>
  <c r="J240" i="1"/>
  <c r="M239" i="1"/>
  <c r="M429" i="1"/>
  <c r="J430" i="1"/>
  <c r="M154" i="1"/>
  <c r="J155" i="1"/>
  <c r="M155" i="1" l="1"/>
  <c r="J156" i="1"/>
  <c r="J65" i="1"/>
  <c r="M64" i="1"/>
  <c r="J112" i="1"/>
  <c r="M111" i="1"/>
  <c r="M20" i="1"/>
  <c r="N20" i="1" s="1"/>
  <c r="J21" i="1"/>
  <c r="L21" i="1"/>
  <c r="I22" i="1"/>
  <c r="J286" i="1"/>
  <c r="M285" i="1"/>
  <c r="K552" i="1"/>
  <c r="N551" i="1"/>
  <c r="K476" i="1"/>
  <c r="N475" i="1"/>
  <c r="J199" i="1"/>
  <c r="M198" i="1"/>
  <c r="J509" i="1"/>
  <c r="M508" i="1"/>
  <c r="J241" i="1"/>
  <c r="M240" i="1"/>
  <c r="M430" i="1"/>
  <c r="J431" i="1"/>
  <c r="N368" i="1"/>
  <c r="K369" i="1"/>
  <c r="K399" i="1"/>
  <c r="N398" i="1"/>
  <c r="M327" i="1"/>
  <c r="J328" i="1"/>
  <c r="N399" i="1" l="1"/>
  <c r="K400" i="1"/>
  <c r="J242" i="1"/>
  <c r="M241" i="1"/>
  <c r="J22" i="1"/>
  <c r="M21" i="1"/>
  <c r="N21" i="1" s="1"/>
  <c r="M65" i="1"/>
  <c r="J66" i="1"/>
  <c r="M328" i="1"/>
  <c r="J329" i="1"/>
  <c r="J200" i="1"/>
  <c r="M199" i="1"/>
  <c r="J287" i="1"/>
  <c r="M286" i="1"/>
  <c r="M156" i="1"/>
  <c r="J157" i="1"/>
  <c r="J432" i="1"/>
  <c r="M431" i="1"/>
  <c r="N369" i="1"/>
  <c r="K370" i="1"/>
  <c r="K553" i="1"/>
  <c r="N552" i="1"/>
  <c r="I23" i="1"/>
  <c r="L22" i="1"/>
  <c r="J510" i="1"/>
  <c r="M509" i="1"/>
  <c r="K477" i="1"/>
  <c r="N476" i="1"/>
  <c r="J113" i="1"/>
  <c r="M112" i="1"/>
  <c r="K554" i="1" l="1"/>
  <c r="N553" i="1"/>
  <c r="M329" i="1"/>
  <c r="J330" i="1"/>
  <c r="J243" i="1"/>
  <c r="M242" i="1"/>
  <c r="K478" i="1"/>
  <c r="N477" i="1"/>
  <c r="N370" i="1"/>
  <c r="K371" i="1"/>
  <c r="J433" i="1"/>
  <c r="M432" i="1"/>
  <c r="J288" i="1"/>
  <c r="M287" i="1"/>
  <c r="N400" i="1"/>
  <c r="K401" i="1"/>
  <c r="J114" i="1"/>
  <c r="M113" i="1"/>
  <c r="I24" i="1"/>
  <c r="L23" i="1"/>
  <c r="M157" i="1"/>
  <c r="J158" i="1"/>
  <c r="M66" i="1"/>
  <c r="J67" i="1"/>
  <c r="J23" i="1"/>
  <c r="M22" i="1"/>
  <c r="N22" i="1" s="1"/>
  <c r="M510" i="1"/>
  <c r="J511" i="1"/>
  <c r="J201" i="1"/>
  <c r="M200" i="1"/>
  <c r="M23" i="1" l="1"/>
  <c r="J24" i="1"/>
  <c r="J115" i="1"/>
  <c r="M114" i="1"/>
  <c r="M288" i="1"/>
  <c r="M289" i="1" s="1"/>
  <c r="L299" i="1" s="1"/>
  <c r="J289" i="1"/>
  <c r="K479" i="1"/>
  <c r="N478" i="1"/>
  <c r="M511" i="1"/>
  <c r="J512" i="1"/>
  <c r="J68" i="1"/>
  <c r="M67" i="1"/>
  <c r="N23" i="1"/>
  <c r="K402" i="1"/>
  <c r="N401" i="1"/>
  <c r="M433" i="1"/>
  <c r="J434" i="1"/>
  <c r="J244" i="1"/>
  <c r="M243" i="1"/>
  <c r="J202" i="1"/>
  <c r="M201" i="1"/>
  <c r="L24" i="1"/>
  <c r="I25" i="1"/>
  <c r="M158" i="1"/>
  <c r="J159" i="1"/>
  <c r="N371" i="1"/>
  <c r="K372" i="1"/>
  <c r="M330" i="1"/>
  <c r="J331" i="1"/>
  <c r="K555" i="1"/>
  <c r="N554" i="1"/>
  <c r="K403" i="1" l="1"/>
  <c r="N402" i="1"/>
  <c r="J69" i="1"/>
  <c r="M68" i="1"/>
  <c r="K480" i="1"/>
  <c r="N479" i="1"/>
  <c r="J116" i="1"/>
  <c r="M115" i="1"/>
  <c r="N372" i="1"/>
  <c r="K373" i="1"/>
  <c r="L25" i="1"/>
  <c r="I26" i="1"/>
  <c r="J513" i="1"/>
  <c r="M512" i="1"/>
  <c r="M202" i="1"/>
  <c r="M203" i="1" s="1"/>
  <c r="L213" i="1" s="1"/>
  <c r="J203" i="1"/>
  <c r="J245" i="1"/>
  <c r="M244" i="1"/>
  <c r="M24" i="1"/>
  <c r="N24" i="1" s="1"/>
  <c r="J25" i="1"/>
  <c r="M434" i="1"/>
  <c r="J435" i="1"/>
  <c r="K556" i="1"/>
  <c r="N555" i="1"/>
  <c r="M331" i="1"/>
  <c r="M332" i="1" s="1"/>
  <c r="L342" i="1" s="1"/>
  <c r="J332" i="1"/>
  <c r="M159" i="1"/>
  <c r="M160" i="1" s="1"/>
  <c r="L170" i="1" s="1"/>
  <c r="J160" i="1"/>
  <c r="J26" i="1" l="1"/>
  <c r="M25" i="1"/>
  <c r="N25" i="1" s="1"/>
  <c r="I27" i="1"/>
  <c r="L26" i="1"/>
  <c r="N556" i="1"/>
  <c r="N557" i="1" s="1"/>
  <c r="N564" i="1" s="1"/>
  <c r="N565" i="1" s="1"/>
  <c r="K557" i="1"/>
  <c r="M116" i="1"/>
  <c r="M117" i="1" s="1"/>
  <c r="L127" i="1" s="1"/>
  <c r="J117" i="1"/>
  <c r="M69" i="1"/>
  <c r="J70" i="1"/>
  <c r="N373" i="1"/>
  <c r="N374" i="1" s="1"/>
  <c r="N381" i="1" s="1"/>
  <c r="N382" i="1" s="1"/>
  <c r="K374" i="1"/>
  <c r="J436" i="1"/>
  <c r="M435" i="1"/>
  <c r="M245" i="1"/>
  <c r="M246" i="1" s="1"/>
  <c r="L256" i="1" s="1"/>
  <c r="J246" i="1"/>
  <c r="J514" i="1"/>
  <c r="M513" i="1"/>
  <c r="N480" i="1"/>
  <c r="N481" i="1" s="1"/>
  <c r="N488" i="1" s="1"/>
  <c r="N489" i="1" s="1"/>
  <c r="K481" i="1"/>
  <c r="N403" i="1"/>
  <c r="K404" i="1"/>
  <c r="N404" i="1" s="1"/>
  <c r="J71" i="1" l="1"/>
  <c r="M70" i="1"/>
  <c r="L27" i="1"/>
  <c r="I28" i="1"/>
  <c r="J515" i="1"/>
  <c r="M514" i="1"/>
  <c r="J437" i="1"/>
  <c r="M436" i="1"/>
  <c r="J27" i="1"/>
  <c r="M26" i="1"/>
  <c r="N26" i="1" s="1"/>
  <c r="L28" i="1" l="1"/>
  <c r="L37" i="1" s="1"/>
  <c r="M27" i="1"/>
  <c r="M28" i="1" s="1"/>
  <c r="L38" i="1" s="1"/>
  <c r="J28" i="1"/>
  <c r="M515" i="1"/>
  <c r="M516" i="1" s="1"/>
  <c r="L526" i="1" s="1"/>
  <c r="J516" i="1"/>
  <c r="J72" i="1"/>
  <c r="M71" i="1"/>
  <c r="J438" i="1"/>
  <c r="M437" i="1"/>
  <c r="M72" i="1" l="1"/>
  <c r="M73" i="1" s="1"/>
  <c r="L83" i="1" s="1"/>
  <c r="J73" i="1"/>
  <c r="M438" i="1"/>
  <c r="M439" i="1" s="1"/>
  <c r="L449" i="1" s="1"/>
  <c r="J439" i="1"/>
  <c r="N27" i="1"/>
  <c r="N28" i="1" s="1"/>
  <c r="L39" i="1" s="1"/>
  <c r="L40" i="1" s="1"/>
  <c r="K57" i="1" s="1"/>
  <c r="I61" i="1" l="1"/>
  <c r="L75" i="1"/>
  <c r="L80" i="1" s="1"/>
  <c r="K61" i="1"/>
  <c r="K62" i="1" l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I62" i="1"/>
  <c r="L61" i="1"/>
  <c r="N61" i="1" l="1"/>
  <c r="L62" i="1"/>
  <c r="N62" i="1" s="1"/>
  <c r="I63" i="1"/>
  <c r="K73" i="1"/>
  <c r="L63" i="1" l="1"/>
  <c r="N63" i="1" s="1"/>
  <c r="I64" i="1"/>
  <c r="I65" i="1" l="1"/>
  <c r="L64" i="1"/>
  <c r="N64" i="1" s="1"/>
  <c r="I66" i="1" l="1"/>
  <c r="L65" i="1"/>
  <c r="L66" i="1" l="1"/>
  <c r="N66" i="1" s="1"/>
  <c r="I67" i="1"/>
  <c r="N65" i="1"/>
  <c r="L67" i="1" l="1"/>
  <c r="I68" i="1"/>
  <c r="L68" i="1" l="1"/>
  <c r="N68" i="1" s="1"/>
  <c r="I69" i="1"/>
  <c r="N67" i="1"/>
  <c r="I70" i="1" l="1"/>
  <c r="L69" i="1"/>
  <c r="N69" i="1" s="1"/>
  <c r="L70" i="1" l="1"/>
  <c r="N70" i="1" s="1"/>
  <c r="I71" i="1"/>
  <c r="L71" i="1" l="1"/>
  <c r="N71" i="1" s="1"/>
  <c r="I72" i="1"/>
  <c r="L72" i="1" l="1"/>
  <c r="I73" i="1"/>
  <c r="N72" i="1" l="1"/>
  <c r="N73" i="1" s="1"/>
  <c r="L84" i="1" s="1"/>
  <c r="L85" i="1" s="1"/>
  <c r="K101" i="1" s="1"/>
  <c r="L73" i="1"/>
  <c r="L82" i="1" s="1"/>
  <c r="K105" i="1" l="1"/>
  <c r="L119" i="1"/>
  <c r="L124" i="1" s="1"/>
  <c r="I105" i="1"/>
  <c r="L105" i="1" l="1"/>
  <c r="I106" i="1"/>
  <c r="K106" i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L106" i="1" l="1"/>
  <c r="N106" i="1" s="1"/>
  <c r="I107" i="1"/>
  <c r="K117" i="1"/>
  <c r="N105" i="1"/>
  <c r="L107" i="1" l="1"/>
  <c r="I108" i="1"/>
  <c r="N107" i="1" l="1"/>
  <c r="L108" i="1"/>
  <c r="N108" i="1" s="1"/>
  <c r="I109" i="1"/>
  <c r="L109" i="1" l="1"/>
  <c r="N109" i="1" s="1"/>
  <c r="I110" i="1"/>
  <c r="L110" i="1" l="1"/>
  <c r="N110" i="1" s="1"/>
  <c r="I111" i="1"/>
  <c r="L111" i="1" l="1"/>
  <c r="I112" i="1"/>
  <c r="N111" i="1" l="1"/>
  <c r="L112" i="1"/>
  <c r="N112" i="1" s="1"/>
  <c r="I113" i="1"/>
  <c r="L113" i="1" l="1"/>
  <c r="N113" i="1" s="1"/>
  <c r="I114" i="1"/>
  <c r="L114" i="1" l="1"/>
  <c r="N114" i="1" s="1"/>
  <c r="I115" i="1"/>
  <c r="L115" i="1" l="1"/>
  <c r="N115" i="1" s="1"/>
  <c r="I116" i="1"/>
  <c r="L116" i="1" l="1"/>
  <c r="I117" i="1"/>
  <c r="N116" i="1" l="1"/>
  <c r="N117" i="1" s="1"/>
  <c r="L128" i="1" s="1"/>
  <c r="L129" i="1" s="1"/>
  <c r="K144" i="1" s="1"/>
  <c r="L117" i="1"/>
  <c r="L126" i="1" s="1"/>
  <c r="I148" i="1" l="1"/>
  <c r="K148" i="1"/>
  <c r="L162" i="1"/>
  <c r="L167" i="1" s="1"/>
  <c r="K149" i="1" l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I149" i="1"/>
  <c r="L148" i="1"/>
  <c r="K160" i="1" l="1"/>
  <c r="N148" i="1"/>
  <c r="I150" i="1"/>
  <c r="L149" i="1"/>
  <c r="N149" i="1" s="1"/>
  <c r="I151" i="1" l="1"/>
  <c r="L150" i="1"/>
  <c r="N150" i="1" s="1"/>
  <c r="I152" i="1" l="1"/>
  <c r="L151" i="1"/>
  <c r="N151" i="1" s="1"/>
  <c r="I153" i="1" l="1"/>
  <c r="L152" i="1"/>
  <c r="N152" i="1" s="1"/>
  <c r="I154" i="1" l="1"/>
  <c r="L153" i="1"/>
  <c r="N153" i="1" l="1"/>
  <c r="I155" i="1"/>
  <c r="L154" i="1"/>
  <c r="N154" i="1" s="1"/>
  <c r="I156" i="1" l="1"/>
  <c r="L155" i="1"/>
  <c r="N155" i="1" s="1"/>
  <c r="I157" i="1" l="1"/>
  <c r="L156" i="1"/>
  <c r="N156" i="1" s="1"/>
  <c r="I158" i="1" l="1"/>
  <c r="L157" i="1"/>
  <c r="N157" i="1" s="1"/>
  <c r="I159" i="1" l="1"/>
  <c r="L158" i="1"/>
  <c r="N158" i="1" s="1"/>
  <c r="L159" i="1" l="1"/>
  <c r="I160" i="1"/>
  <c r="N159" i="1" l="1"/>
  <c r="N160" i="1" s="1"/>
  <c r="L171" i="1" s="1"/>
  <c r="L172" i="1" s="1"/>
  <c r="K187" i="1" s="1"/>
  <c r="L160" i="1"/>
  <c r="L169" i="1" s="1"/>
  <c r="L205" i="1" l="1"/>
  <c r="L210" i="1" s="1"/>
  <c r="I191" i="1"/>
  <c r="K191" i="1"/>
  <c r="K192" i="1" l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I192" i="1"/>
  <c r="L191" i="1"/>
  <c r="I193" i="1" l="1"/>
  <c r="L192" i="1"/>
  <c r="N192" i="1" s="1"/>
  <c r="N191" i="1"/>
  <c r="K203" i="1"/>
  <c r="I194" i="1" l="1"/>
  <c r="L193" i="1"/>
  <c r="N193" i="1" s="1"/>
  <c r="I195" i="1" l="1"/>
  <c r="L194" i="1"/>
  <c r="N194" i="1" s="1"/>
  <c r="I196" i="1" l="1"/>
  <c r="L195" i="1"/>
  <c r="N195" i="1" s="1"/>
  <c r="I197" i="1" l="1"/>
  <c r="L196" i="1"/>
  <c r="N196" i="1" s="1"/>
  <c r="I198" i="1" l="1"/>
  <c r="L197" i="1"/>
  <c r="N197" i="1" s="1"/>
  <c r="I199" i="1" l="1"/>
  <c r="L198" i="1"/>
  <c r="N198" i="1" s="1"/>
  <c r="I200" i="1" l="1"/>
  <c r="L199" i="1"/>
  <c r="N199" i="1" s="1"/>
  <c r="I201" i="1" l="1"/>
  <c r="L200" i="1"/>
  <c r="N200" i="1" s="1"/>
  <c r="I202" i="1" l="1"/>
  <c r="L201" i="1"/>
  <c r="N201" i="1" s="1"/>
  <c r="L202" i="1" l="1"/>
  <c r="I203" i="1"/>
  <c r="N202" i="1" l="1"/>
  <c r="N203" i="1" s="1"/>
  <c r="L214" i="1" s="1"/>
  <c r="L215" i="1" s="1"/>
  <c r="K230" i="1" s="1"/>
  <c r="L203" i="1"/>
  <c r="L212" i="1" s="1"/>
  <c r="L248" i="1" l="1"/>
  <c r="L253" i="1" s="1"/>
  <c r="I234" i="1"/>
  <c r="K234" i="1"/>
  <c r="K235" i="1" l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L234" i="1"/>
  <c r="I235" i="1"/>
  <c r="L235" i="1" l="1"/>
  <c r="N235" i="1" s="1"/>
  <c r="I236" i="1"/>
  <c r="N234" i="1"/>
  <c r="K246" i="1"/>
  <c r="L236" i="1" l="1"/>
  <c r="I237" i="1"/>
  <c r="L237" i="1" l="1"/>
  <c r="N237" i="1" s="1"/>
  <c r="I238" i="1"/>
  <c r="N236" i="1"/>
  <c r="L238" i="1" l="1"/>
  <c r="I239" i="1"/>
  <c r="L239" i="1" l="1"/>
  <c r="N239" i="1" s="1"/>
  <c r="I240" i="1"/>
  <c r="N238" i="1"/>
  <c r="L240" i="1" l="1"/>
  <c r="I241" i="1"/>
  <c r="L241" i="1" l="1"/>
  <c r="N241" i="1" s="1"/>
  <c r="I242" i="1"/>
  <c r="N240" i="1"/>
  <c r="L242" i="1" l="1"/>
  <c r="I243" i="1"/>
  <c r="N242" i="1" l="1"/>
  <c r="L243" i="1"/>
  <c r="N243" i="1" s="1"/>
  <c r="I244" i="1"/>
  <c r="L244" i="1" l="1"/>
  <c r="N244" i="1" s="1"/>
  <c r="I245" i="1"/>
  <c r="L245" i="1" l="1"/>
  <c r="I246" i="1"/>
  <c r="N245" i="1" l="1"/>
  <c r="N246" i="1" s="1"/>
  <c r="L257" i="1" s="1"/>
  <c r="L258" i="1" s="1"/>
  <c r="K273" i="1" s="1"/>
  <c r="L246" i="1"/>
  <c r="L255" i="1" s="1"/>
  <c r="K277" i="1" l="1"/>
  <c r="L291" i="1"/>
  <c r="L296" i="1" s="1"/>
  <c r="I277" i="1"/>
  <c r="I278" i="1" l="1"/>
  <c r="L277" i="1"/>
  <c r="K278" i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N277" i="1" l="1"/>
  <c r="I279" i="1"/>
  <c r="L278" i="1"/>
  <c r="N278" i="1" s="1"/>
  <c r="K289" i="1"/>
  <c r="I280" i="1" l="1"/>
  <c r="L279" i="1"/>
  <c r="N279" i="1" s="1"/>
  <c r="I281" i="1" l="1"/>
  <c r="L280" i="1"/>
  <c r="N280" i="1" s="1"/>
  <c r="I282" i="1" l="1"/>
  <c r="L281" i="1"/>
  <c r="N281" i="1" s="1"/>
  <c r="I283" i="1" l="1"/>
  <c r="L282" i="1"/>
  <c r="N282" i="1" l="1"/>
  <c r="I284" i="1"/>
  <c r="L283" i="1"/>
  <c r="N283" i="1" s="1"/>
  <c r="I285" i="1" l="1"/>
  <c r="L284" i="1"/>
  <c r="N284" i="1" s="1"/>
  <c r="I286" i="1" l="1"/>
  <c r="L285" i="1"/>
  <c r="N285" i="1" s="1"/>
  <c r="I287" i="1" l="1"/>
  <c r="L286" i="1"/>
  <c r="N286" i="1" s="1"/>
  <c r="I288" i="1" l="1"/>
  <c r="L287" i="1"/>
  <c r="N287" i="1" s="1"/>
  <c r="L288" i="1" l="1"/>
  <c r="I289" i="1"/>
  <c r="N288" i="1" l="1"/>
  <c r="N289" i="1" s="1"/>
  <c r="L300" i="1" s="1"/>
  <c r="L301" i="1" s="1"/>
  <c r="K316" i="1" s="1"/>
  <c r="L289" i="1"/>
  <c r="L298" i="1" s="1"/>
  <c r="L334" i="1" l="1"/>
  <c r="L339" i="1" s="1"/>
  <c r="K320" i="1"/>
  <c r="I320" i="1"/>
  <c r="L320" i="1" l="1"/>
  <c r="I321" i="1"/>
  <c r="K321" i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I322" i="1" l="1"/>
  <c r="L321" i="1"/>
  <c r="N321" i="1" s="1"/>
  <c r="N320" i="1"/>
  <c r="K332" i="1"/>
  <c r="I323" i="1" l="1"/>
  <c r="L322" i="1"/>
  <c r="N322" i="1" s="1"/>
  <c r="I324" i="1" l="1"/>
  <c r="L323" i="1"/>
  <c r="N323" i="1" s="1"/>
  <c r="I325" i="1" l="1"/>
  <c r="L324" i="1"/>
  <c r="N324" i="1" l="1"/>
  <c r="I326" i="1"/>
  <c r="L325" i="1"/>
  <c r="N325" i="1" s="1"/>
  <c r="I327" i="1" l="1"/>
  <c r="L326" i="1"/>
  <c r="N326" i="1" s="1"/>
  <c r="I328" i="1" l="1"/>
  <c r="L327" i="1"/>
  <c r="N327" i="1" s="1"/>
  <c r="I329" i="1" l="1"/>
  <c r="L328" i="1"/>
  <c r="N328" i="1" s="1"/>
  <c r="I330" i="1" l="1"/>
  <c r="L329" i="1"/>
  <c r="N329" i="1" s="1"/>
  <c r="I331" i="1" l="1"/>
  <c r="L330" i="1"/>
  <c r="N330" i="1" s="1"/>
  <c r="L331" i="1" l="1"/>
  <c r="I332" i="1"/>
  <c r="N331" i="1" l="1"/>
  <c r="N332" i="1" s="1"/>
  <c r="L343" i="1" s="1"/>
  <c r="L344" i="1" s="1"/>
  <c r="K423" i="1" s="1"/>
  <c r="L332" i="1"/>
  <c r="L341" i="1" s="1"/>
  <c r="L441" i="1" l="1"/>
  <c r="L446" i="1" s="1"/>
  <c r="K427" i="1"/>
  <c r="I427" i="1"/>
  <c r="L427" i="1" l="1"/>
  <c r="I428" i="1"/>
  <c r="K428" i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I429" i="1" l="1"/>
  <c r="L428" i="1"/>
  <c r="N428" i="1" s="1"/>
  <c r="K439" i="1"/>
  <c r="N427" i="1"/>
  <c r="I430" i="1" l="1"/>
  <c r="L429" i="1"/>
  <c r="N429" i="1" l="1"/>
  <c r="L430" i="1"/>
  <c r="N430" i="1" s="1"/>
  <c r="I431" i="1"/>
  <c r="L431" i="1" l="1"/>
  <c r="I432" i="1"/>
  <c r="I433" i="1" l="1"/>
  <c r="L432" i="1"/>
  <c r="N432" i="1" s="1"/>
  <c r="N431" i="1"/>
  <c r="I434" i="1" l="1"/>
  <c r="L433" i="1"/>
  <c r="N433" i="1" s="1"/>
  <c r="L434" i="1" l="1"/>
  <c r="N434" i="1" s="1"/>
  <c r="I435" i="1"/>
  <c r="L435" i="1" l="1"/>
  <c r="N435" i="1" s="1"/>
  <c r="I436" i="1"/>
  <c r="L436" i="1" l="1"/>
  <c r="N436" i="1" s="1"/>
  <c r="I437" i="1"/>
  <c r="L437" i="1" l="1"/>
  <c r="N437" i="1" s="1"/>
  <c r="I438" i="1"/>
  <c r="L438" i="1" l="1"/>
  <c r="I439" i="1"/>
  <c r="N438" i="1" l="1"/>
  <c r="N439" i="1" s="1"/>
  <c r="L450" i="1" s="1"/>
  <c r="L451" i="1" s="1"/>
  <c r="K500" i="1" s="1"/>
  <c r="L439" i="1"/>
  <c r="L448" i="1" s="1"/>
  <c r="L518" i="1" l="1"/>
  <c r="L523" i="1" s="1"/>
  <c r="K504" i="1"/>
  <c r="I504" i="1"/>
  <c r="L504" i="1" l="1"/>
  <c r="I505" i="1"/>
  <c r="K505" i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l="1"/>
  <c r="I506" i="1"/>
  <c r="L505" i="1"/>
  <c r="N505" i="1" s="1"/>
  <c r="N504" i="1"/>
  <c r="I507" i="1" l="1"/>
  <c r="L506" i="1"/>
  <c r="N506" i="1" s="1"/>
  <c r="L507" i="1" l="1"/>
  <c r="N507" i="1" s="1"/>
  <c r="I508" i="1"/>
  <c r="I509" i="1" l="1"/>
  <c r="L508" i="1"/>
  <c r="N508" i="1" s="1"/>
  <c r="I510" i="1" l="1"/>
  <c r="L509" i="1"/>
  <c r="N509" i="1" s="1"/>
  <c r="L510" i="1" l="1"/>
  <c r="N510" i="1" s="1"/>
  <c r="I511" i="1"/>
  <c r="L511" i="1" l="1"/>
  <c r="N511" i="1" s="1"/>
  <c r="I512" i="1"/>
  <c r="L512" i="1" l="1"/>
  <c r="N512" i="1" s="1"/>
  <c r="I513" i="1"/>
  <c r="L513" i="1" l="1"/>
  <c r="N513" i="1" s="1"/>
  <c r="I514" i="1"/>
  <c r="L514" i="1" l="1"/>
  <c r="N514" i="1" s="1"/>
  <c r="I515" i="1"/>
  <c r="L515" i="1" l="1"/>
  <c r="I516" i="1"/>
  <c r="N515" i="1" l="1"/>
  <c r="N516" i="1" s="1"/>
  <c r="L527" i="1" s="1"/>
  <c r="L528" i="1" s="1"/>
  <c r="L516" i="1"/>
  <c r="L525" i="1" s="1"/>
</calcChain>
</file>

<file path=xl/sharedStrings.xml><?xml version="1.0" encoding="utf-8"?>
<sst xmlns="http://schemas.openxmlformats.org/spreadsheetml/2006/main" count="906" uniqueCount="265">
  <si>
    <t>नाशिक महानगरपालिका,नाशिक</t>
  </si>
  <si>
    <t>परिभाषित अंशदान निवृत्ती वेतन योजना - वार्षिक विवरणपत्र</t>
  </si>
  <si>
    <t>क. लिपीक</t>
  </si>
  <si>
    <t>उपलेखापाल</t>
  </si>
  <si>
    <t>उपमुख्यलेखाधिकारी</t>
  </si>
  <si>
    <t>2005-06</t>
  </si>
  <si>
    <t>2006-07</t>
  </si>
  <si>
    <t>कर्मचारी क्रमांक</t>
  </si>
  <si>
    <t>कर्मचारी नाव</t>
  </si>
  <si>
    <t>कर्मचारी नियुक्ती दिनांक</t>
  </si>
  <si>
    <t>पे सेंटर</t>
  </si>
  <si>
    <t>हुद्दा</t>
  </si>
  <si>
    <t>व्याज दर (1)</t>
  </si>
  <si>
    <t xml:space="preserve">व्याज दर (2) </t>
  </si>
  <si>
    <t>सुरवातीची शिल्लक</t>
  </si>
  <si>
    <t>2005-2006</t>
  </si>
  <si>
    <t>महिना</t>
  </si>
  <si>
    <t>कर्मचारी वर्गणी</t>
  </si>
  <si>
    <t>मनपा वर्गणी</t>
  </si>
  <si>
    <t>कर्मचाऱ्याने काढलेल्या कर्ज रक्कमेचा हप्ता (जमा)</t>
  </si>
  <si>
    <t>एकूण जमा</t>
  </si>
  <si>
    <t>काढलेल्या कर्जाची रक्कम</t>
  </si>
  <si>
    <t>कर्मचारी वर्गणी - व्याज आकारली जाते ती मासिक रक्कम</t>
  </si>
  <si>
    <t>मनपा वर्गणी - व्याज आकारली जाते ती मासिक रक्कम</t>
  </si>
  <si>
    <t>व्याज आकारली जाते ती मासिक एकूण रक्कम</t>
  </si>
  <si>
    <t>कर्मचारी वर्गणी - मिळणाऱ्या व्याजाची रक्कम</t>
  </si>
  <si>
    <t>मनपा वर्गणी - मिळणाऱ्या व्याजाची रक्कम</t>
  </si>
  <si>
    <t>मिळणाऱ्या व्याजाची एकूण रक्कम</t>
  </si>
  <si>
    <t xml:space="preserve">व्याज दर </t>
  </si>
  <si>
    <t>Bunch No</t>
  </si>
  <si>
    <t>File No</t>
  </si>
  <si>
    <t>Voc. No.</t>
  </si>
  <si>
    <t>Voc. Date</t>
  </si>
  <si>
    <t>Basic</t>
  </si>
  <si>
    <t>GP</t>
  </si>
  <si>
    <t>DA</t>
  </si>
  <si>
    <t>Total</t>
  </si>
  <si>
    <t>Emp. 10% Ideal Contribution</t>
  </si>
  <si>
    <t>10% Emp  Actual Contribution as per Voucher</t>
  </si>
  <si>
    <t>Diff in Emp Contribution</t>
  </si>
  <si>
    <t>From Salary Duration</t>
  </si>
  <si>
    <t>To Salary Duration</t>
  </si>
  <si>
    <t>Salary Type</t>
  </si>
  <si>
    <t>नियमित वेतन</t>
  </si>
  <si>
    <t>पुरवणी वेतन</t>
  </si>
  <si>
    <t>एप्रिल 2005</t>
  </si>
  <si>
    <t>व्याज दर 8.00%</t>
  </si>
  <si>
    <t>मे 2005</t>
  </si>
  <si>
    <t>जुन 2005</t>
  </si>
  <si>
    <t>जुलै 2005</t>
  </si>
  <si>
    <t>ऑगस्ट 2005</t>
  </si>
  <si>
    <t>सप्टेंबर 2005</t>
  </si>
  <si>
    <t>ऑक्टोबर 2005</t>
  </si>
  <si>
    <t>नोव्हेंबर 2005</t>
  </si>
  <si>
    <t>डिसेंबर 2005</t>
  </si>
  <si>
    <t>जानेवारी 2006</t>
  </si>
  <si>
    <t>फेब्रुवारी 2006</t>
  </si>
  <si>
    <t>मार्च 2006</t>
  </si>
  <si>
    <t>एकुण 2005-06</t>
  </si>
  <si>
    <t>सुरुवातीची शिल्लक</t>
  </si>
  <si>
    <t>एकुण कर्मचारी वर्गणी</t>
  </si>
  <si>
    <t>कर्मचाऱ्याने काढलेल्या कर्ज रक्कमेचा एकुण हप्ता (जमा)</t>
  </si>
  <si>
    <t>एकुण कर्मचारी वर्गणी व कर्मचाऱ्याने काढलेल्या कर्ज रक्कमेचा हप्ता : जमा (2+3)</t>
  </si>
  <si>
    <t>एकुण जमा (सुरवातीची शिलकेसह) (1+4+5)</t>
  </si>
  <si>
    <t>काढलेल्या कर्जाची रक्कम (-)</t>
  </si>
  <si>
    <t>एकुण मिळणाऱ्या व्याजाची रक्कम (8+9)</t>
  </si>
  <si>
    <t>मार्च 2006 अखेर शिल्लक (6-7+10)</t>
  </si>
  <si>
    <t>2006-2007</t>
  </si>
  <si>
    <t>एप्रिल 2006</t>
  </si>
  <si>
    <t>मे 2006</t>
  </si>
  <si>
    <t>जुन 2006</t>
  </si>
  <si>
    <t>जुलै 2006</t>
  </si>
  <si>
    <t>ऑगस्ट 2006</t>
  </si>
  <si>
    <t>सप्टेंबर 2006</t>
  </si>
  <si>
    <t>ऑक्टोबर 2006</t>
  </si>
  <si>
    <t>नोव्हेंबर 2006</t>
  </si>
  <si>
    <t>डिसेंबर 2006</t>
  </si>
  <si>
    <t>जानेवारी 2007</t>
  </si>
  <si>
    <t>फेब्रुवारी 2007</t>
  </si>
  <si>
    <t>मार्च 2007</t>
  </si>
  <si>
    <t>एकुण 2006-07</t>
  </si>
  <si>
    <t>मार्च 2007 अखेर शिल्लक (6-7+10)</t>
  </si>
  <si>
    <t>2007-08</t>
  </si>
  <si>
    <t>2007-2008</t>
  </si>
  <si>
    <t>एप्रिल 2007</t>
  </si>
  <si>
    <t>मे 2007</t>
  </si>
  <si>
    <t>जुन 2007</t>
  </si>
  <si>
    <t>जुलै 2007</t>
  </si>
  <si>
    <t>ऑगस्ट 2007</t>
  </si>
  <si>
    <t>सप्टेंबर 2007</t>
  </si>
  <si>
    <t>ऑक्टोबर 2007</t>
  </si>
  <si>
    <t>नोव्हेंबर 2007</t>
  </si>
  <si>
    <t>डिसेंबर 2007</t>
  </si>
  <si>
    <t>जानेवारी 2008</t>
  </si>
  <si>
    <t>फेब्रुवारी 2008</t>
  </si>
  <si>
    <t>मार्च 2008</t>
  </si>
  <si>
    <t>एकुण 2007-08</t>
  </si>
  <si>
    <t>मार्च 2008 अखेर शिल्लक (6-7+10)</t>
  </si>
  <si>
    <t>2008-09</t>
  </si>
  <si>
    <t>2008-2009</t>
  </si>
  <si>
    <t>एप्रिल 2008</t>
  </si>
  <si>
    <t>मे 2008</t>
  </si>
  <si>
    <t>जुन 2008</t>
  </si>
  <si>
    <t>जुलै 2008</t>
  </si>
  <si>
    <t>ऑगस्ट 2008</t>
  </si>
  <si>
    <t>सप्टेंबर 2008</t>
  </si>
  <si>
    <t>ऑक्टोबर 2008</t>
  </si>
  <si>
    <t>नोव्हेंबर 2008</t>
  </si>
  <si>
    <t>डिसेंबर 2008</t>
  </si>
  <si>
    <t>जानेवारी 2009</t>
  </si>
  <si>
    <t>फेब्रुवारी 2009</t>
  </si>
  <si>
    <t>मार्च 2009</t>
  </si>
  <si>
    <t>एकुण 2008-09</t>
  </si>
  <si>
    <t>कर्मचाऱ्याने काढलेल्या कर्ज रक्कमेचा एकुण हप्ता</t>
  </si>
  <si>
    <t>मार्च 2009 अखेर शिल्लक (6-7+10)</t>
  </si>
  <si>
    <t>2009-2010</t>
  </si>
  <si>
    <t>एप्रिल 2009</t>
  </si>
  <si>
    <t>31-04-2009</t>
  </si>
  <si>
    <t>मे 2009</t>
  </si>
  <si>
    <t>जुन 2009</t>
  </si>
  <si>
    <t>जुलै 2009</t>
  </si>
  <si>
    <t>ऑगस्ट 2009</t>
  </si>
  <si>
    <t>सप्टेंबर 2009</t>
  </si>
  <si>
    <t>ऑक्टोबर 2009</t>
  </si>
  <si>
    <t>नोव्हेंबर 2009</t>
  </si>
  <si>
    <t>डिसेंबर 2009</t>
  </si>
  <si>
    <t>जानेवारी 2010</t>
  </si>
  <si>
    <t>फेब्रुवारी 2010</t>
  </si>
  <si>
    <t>मार्च 2010</t>
  </si>
  <si>
    <t>एकुण 2009-10</t>
  </si>
  <si>
    <t>मार्च 2010 अखेर शिल्लक (6-7+10)</t>
  </si>
  <si>
    <t>2010-2011</t>
  </si>
  <si>
    <t>एप्रिल 2010</t>
  </si>
  <si>
    <t>31-04-2010</t>
  </si>
  <si>
    <t>मे 2010</t>
  </si>
  <si>
    <t>जुन 2010</t>
  </si>
  <si>
    <t>जुलै 2010</t>
  </si>
  <si>
    <t>ऑगस्ट 2010</t>
  </si>
  <si>
    <t>सप्टेंबर 2010</t>
  </si>
  <si>
    <t>ऑक्टोबर 2010</t>
  </si>
  <si>
    <t>नोव्हेंबर 2010</t>
  </si>
  <si>
    <t>डिसेंबर 2010</t>
  </si>
  <si>
    <t>जानेवारी 2011</t>
  </si>
  <si>
    <t>फेब्रुवारी 2011</t>
  </si>
  <si>
    <t>मार्च 2011</t>
  </si>
  <si>
    <t>एकुण 2010-11</t>
  </si>
  <si>
    <t>मार्च 2011 अखेर शिल्लक (6-7+10)</t>
  </si>
  <si>
    <t>2011-2012</t>
  </si>
  <si>
    <t>एप्रिल 2011</t>
  </si>
  <si>
    <t>मे 2011</t>
  </si>
  <si>
    <t>जुन 2011</t>
  </si>
  <si>
    <t>जुलै 2011</t>
  </si>
  <si>
    <t>ऑगस्ट 2011</t>
  </si>
  <si>
    <t>सप्टेंबर 2011</t>
  </si>
  <si>
    <t>ऑक्टोबर 2011</t>
  </si>
  <si>
    <t>नोव्हेंबर 2011</t>
  </si>
  <si>
    <t>डिसेंबर 2011</t>
  </si>
  <si>
    <t>व्याज दर 8.60%</t>
  </si>
  <si>
    <t>जानेवारी 2012</t>
  </si>
  <si>
    <t>फेब्रुवारी 2012</t>
  </si>
  <si>
    <t>मार्च 2012</t>
  </si>
  <si>
    <t>एकुण 2011-12</t>
  </si>
  <si>
    <t>मार्च 2012 अखेर शिल्लक (6-7+10)</t>
  </si>
  <si>
    <t>2012-2013</t>
  </si>
  <si>
    <t>एप्रिल 2012</t>
  </si>
  <si>
    <t>व्याज दर 8.80%</t>
  </si>
  <si>
    <t>मे 2012</t>
  </si>
  <si>
    <t>जुन 2012</t>
  </si>
  <si>
    <t>जुलै 2012</t>
  </si>
  <si>
    <t>ऑगस्ट 2012</t>
  </si>
  <si>
    <t>सप्टेंबर 2012</t>
  </si>
  <si>
    <t>ऑक्टोबर 2012</t>
  </si>
  <si>
    <t>नोव्हेंबर 2012</t>
  </si>
  <si>
    <t>डिसेंबर 2012</t>
  </si>
  <si>
    <t>जानेवारी 2013</t>
  </si>
  <si>
    <t>फेब्रुवारी 2013</t>
  </si>
  <si>
    <t>मार्च 2013</t>
  </si>
  <si>
    <t>एकुण 2012-13</t>
  </si>
  <si>
    <t>मार्च 2013 अखेर शिल्लक (6-7+10)</t>
  </si>
  <si>
    <t>2013-14</t>
  </si>
  <si>
    <t>कर्मचाऱ्याने काढलेल्या कर्ज रक्कमेचा हप्ता</t>
  </si>
  <si>
    <t>व्याज आकारली जाते ती मासिक रक्कम</t>
  </si>
  <si>
    <t>मिळणाऱ्या व्याजाची रक्कम</t>
  </si>
  <si>
    <t>एप्रिल 2013</t>
  </si>
  <si>
    <t>व्याज दर 8.70%</t>
  </si>
  <si>
    <t>मे 2013</t>
  </si>
  <si>
    <t>जुन 2013</t>
  </si>
  <si>
    <t>जुलै 2013</t>
  </si>
  <si>
    <t>ऑगस्ट 2013</t>
  </si>
  <si>
    <t>सप्टेंबर 2013</t>
  </si>
  <si>
    <t>ऑक्टोबर 2013</t>
  </si>
  <si>
    <t>नोव्हेंबर 2013</t>
  </si>
  <si>
    <t>डिसेंबर 2013</t>
  </si>
  <si>
    <t>जानेवारी 2014</t>
  </si>
  <si>
    <t>फेब्रुवारी 2014</t>
  </si>
  <si>
    <t>मार्च 2014</t>
  </si>
  <si>
    <t>एकुण 2013-14</t>
  </si>
  <si>
    <t>एकुण कर्मचारी वर्गणी व कर्मचाऱ्याने काढलेल्या कर्ज रक्कमेचा हप्ता : जमा (+)</t>
  </si>
  <si>
    <t>एकुण जमा (सुरवातीची शिलकेसह)</t>
  </si>
  <si>
    <t>मिळणाऱ्या व्याजाची रक्कम (+)</t>
  </si>
  <si>
    <t>मार्च अखेर शिल्लक</t>
  </si>
  <si>
    <t>2015-16</t>
  </si>
  <si>
    <t>एप्रिल 2015</t>
  </si>
  <si>
    <t>मे 2015</t>
  </si>
  <si>
    <t>जुन 2015</t>
  </si>
  <si>
    <t>जुलै 2015</t>
  </si>
  <si>
    <t>ऑगस्ट 2015</t>
  </si>
  <si>
    <t>सप्टेंबर 2015</t>
  </si>
  <si>
    <t>ऑक्टोबर 2015</t>
  </si>
  <si>
    <t>नोव्हेंबर 2015</t>
  </si>
  <si>
    <t>डिसेंबर 2015</t>
  </si>
  <si>
    <t>जानेवारी 2016</t>
  </si>
  <si>
    <t>फेब्रुवारी 2016</t>
  </si>
  <si>
    <t>मार्च 2016</t>
  </si>
  <si>
    <t>एकुण 2015-16</t>
  </si>
  <si>
    <t>2013-2014</t>
  </si>
  <si>
    <t>मार्च 2014 अखेर शिल्लक (6-7+10)</t>
  </si>
  <si>
    <t>2017-18</t>
  </si>
  <si>
    <t xml:space="preserve">     7.8%    7.6%</t>
  </si>
  <si>
    <t>एप्रिल 2017</t>
  </si>
  <si>
    <t>व्याज दर 7.90%</t>
  </si>
  <si>
    <t>मे 2017</t>
  </si>
  <si>
    <t>जुन 2017</t>
  </si>
  <si>
    <t>जुलै 2017</t>
  </si>
  <si>
    <t>व्याज दर 7.80%</t>
  </si>
  <si>
    <t>ऑगस्ट 2017</t>
  </si>
  <si>
    <t>सप्टेंबर 2017</t>
  </si>
  <si>
    <t>ऑक्टोबर 2017</t>
  </si>
  <si>
    <t>नोव्हेंबर 2017</t>
  </si>
  <si>
    <t>डिसेंबर 2017</t>
  </si>
  <si>
    <t>जानेवारी 2018</t>
  </si>
  <si>
    <t>व्याज दर 7.60%</t>
  </si>
  <si>
    <t>फेब्रुवारी 2018</t>
  </si>
  <si>
    <t>मार्च 2018</t>
  </si>
  <si>
    <t>एकुण 2017-18</t>
  </si>
  <si>
    <t>2014-2015</t>
  </si>
  <si>
    <t>एप्रिल 2014</t>
  </si>
  <si>
    <t>मे 2014</t>
  </si>
  <si>
    <t>जुन 2014</t>
  </si>
  <si>
    <t>जुलै 2014</t>
  </si>
  <si>
    <t>ऑगस्ट 2014</t>
  </si>
  <si>
    <t>सप्टेंबर 2014</t>
  </si>
  <si>
    <t>ऑक्टोबर 2014</t>
  </si>
  <si>
    <t>नोव्हेंबर 2014</t>
  </si>
  <si>
    <t>डिसेंबर 2014</t>
  </si>
  <si>
    <t>जानेवारी 2015</t>
  </si>
  <si>
    <t>फेब्रुवारी 2015</t>
  </si>
  <si>
    <t>मार्च 2015</t>
  </si>
  <si>
    <t>एकुण 2014-15</t>
  </si>
  <si>
    <t>मार्च 2015 अखेर शिल्लक (6-7+10)</t>
  </si>
  <si>
    <t>2019-2020</t>
  </si>
  <si>
    <t>एप्रिल 2019</t>
  </si>
  <si>
    <t>मे 2019</t>
  </si>
  <si>
    <t>जुन 2019</t>
  </si>
  <si>
    <t>जुलै 2019</t>
  </si>
  <si>
    <t>ऑगस्ट 2019</t>
  </si>
  <si>
    <t>सप्टेंबर 2019</t>
  </si>
  <si>
    <t>ऑक्टोबर 2019</t>
  </si>
  <si>
    <t>नोव्हेंबर 2019</t>
  </si>
  <si>
    <t>डिसेंबर 2019</t>
  </si>
  <si>
    <t>जानेवारी 2020</t>
  </si>
  <si>
    <t>फेब्रुवारी 2020</t>
  </si>
  <si>
    <t>मार्च 2020</t>
  </si>
  <si>
    <t>एकुण 2019-20</t>
  </si>
  <si>
    <t>Pay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</si>
</sst>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DVOT-SurekhMR"/>
    </font>
    <font>
      <b/>
      <sz val="11"/>
      <color theme="1"/>
      <name val="DVOT-SurekhMR"/>
    </font>
    <font>
      <b/>
      <sz val="11"/>
      <color indexed="8"/>
      <name val="DVOT-SurekhM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DV-otsurekh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5" xfId="0" applyNumberFormat="1" applyBorder="1" applyAlignment="1">
      <alignment horizontal="right" vertical="center" wrapText="1"/>
    </xf>
    <xf numFmtId="14" fontId="0" fillId="0" borderId="5" xfId="0" applyNumberForma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2" fontId="7" fillId="0" borderId="16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9" fillId="0" borderId="0" xfId="0" applyFont="1"/>
    <xf numFmtId="0" fontId="6" fillId="0" borderId="23" xfId="0" applyFont="1" applyBorder="1" applyAlignment="1">
      <alignment horizontal="center" vertical="center" wrapText="1"/>
    </xf>
    <xf numFmtId="2" fontId="6" fillId="0" borderId="2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2" fontId="6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2" fontId="7" fillId="0" borderId="27" xfId="0" applyNumberFormat="1" applyFont="1" applyBorder="1" applyAlignment="1">
      <alignment horizontal="center" vertical="center" wrapText="1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6" fillId="0" borderId="18" xfId="0" applyNumberFormat="1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 wrapText="1"/>
    </xf>
    <xf numFmtId="2" fontId="6" fillId="0" borderId="20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CPS%20%20NPS%20-%20F.Y.%202022%20Onwards\1.%20DCPS-NPS%20Gratuty%20and%20Family%20Pension%20Proposal\DCPS%20Ledger%20-%209255.xlsx" TargetMode="External"/><Relationship Id="rId1" Type="http://schemas.openxmlformats.org/officeDocument/2006/relationships/externalLinkPath" Target="DCPS%20Ledger%20-%20925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t. Ganesh Mahajan - 9255"/>
      <sheetName val="Sheet1"/>
      <sheetName val="Ledger Template"/>
      <sheetName val="Sheet4"/>
    </sheetNames>
    <sheetDataSet>
      <sheetData sheetId="0" refreshError="1"/>
      <sheetData sheetId="1" refreshError="1"/>
      <sheetData sheetId="2" refreshError="1"/>
      <sheetData sheetId="3">
        <row r="13">
          <cell r="E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F30E-11B4-4DD0-B4F7-38D7DCC7ACE2}">
  <dimension ref="A1:AK906"/>
  <sheetViews>
    <sheetView tabSelected="1" topLeftCell="A4" workbookViewId="0">
      <selection activeCell="A4" sqref="A4:O4"/>
    </sheetView>
  </sheetViews>
  <sheetFormatPr defaultColWidth="9.140625" defaultRowHeight="15" zeroHeight="1"/>
  <cols>
    <col min="1" max="1" width="11.7109375" style="1" customWidth="1"/>
    <col min="2" max="5" width="8.7109375" style="1" customWidth="1"/>
    <col min="6" max="14" width="10.7109375" style="1" customWidth="1"/>
    <col min="15" max="15" width="10.7109375" style="5" customWidth="1"/>
    <col min="16" max="16" width="1.7109375" style="1" customWidth="1"/>
    <col min="17" max="17" width="9.140625" style="1" customWidth="1"/>
    <col min="18" max="19" width="9.140625" style="1"/>
    <col min="20" max="20" width="11.140625" style="1" bestFit="1" customWidth="1"/>
    <col min="21" max="21" width="11.140625" style="1" customWidth="1"/>
    <col min="22" max="22" width="9.140625" style="2"/>
    <col min="23" max="23" width="9.140625" style="2" customWidth="1"/>
    <col min="24" max="25" width="9.140625" style="2"/>
    <col min="26" max="27" width="12.28515625" style="2" customWidth="1"/>
    <col min="28" max="28" width="12.7109375" style="2" customWidth="1"/>
    <col min="29" max="30" width="11.140625" style="1" bestFit="1" customWidth="1"/>
    <col min="31" max="31" width="14.7109375" style="1" customWidth="1"/>
    <col min="32" max="32" width="13" style="1" customWidth="1"/>
    <col min="33" max="34" width="10.42578125" style="1" bestFit="1" customWidth="1"/>
    <col min="35" max="16384" width="9.140625" style="1"/>
  </cols>
  <sheetData>
    <row r="1" spans="1:37" ht="18.75" hidden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37" ht="18.75" hidden="1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37" ht="18" hidden="1">
      <c r="A3" s="73" t="s">
        <v>2</v>
      </c>
      <c r="B3" s="73"/>
      <c r="C3" s="3"/>
      <c r="D3" s="3"/>
      <c r="E3" s="73" t="s">
        <v>3</v>
      </c>
      <c r="F3" s="73"/>
      <c r="G3" s="73"/>
      <c r="H3" s="74" t="s">
        <v>4</v>
      </c>
      <c r="I3" s="74"/>
      <c r="J3" s="74"/>
      <c r="K3" s="74"/>
      <c r="L3" s="74"/>
      <c r="M3" s="74"/>
      <c r="N3" s="74"/>
    </row>
    <row r="4" spans="1:37" ht="31.5" customHeight="1">
      <c r="A4" s="102" t="s">
        <v>0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V4" s="1"/>
      <c r="W4" s="1"/>
      <c r="X4" s="1"/>
      <c r="Y4" s="1"/>
      <c r="Z4" s="1"/>
      <c r="AA4" s="1"/>
      <c r="AB4" s="1"/>
    </row>
    <row r="5" spans="1:37" ht="28.5" customHeight="1">
      <c r="A5" s="102" t="s">
        <v>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V5" s="1"/>
      <c r="W5" s="1"/>
      <c r="X5" s="1"/>
      <c r="Y5" s="1"/>
      <c r="Z5" s="1"/>
      <c r="AA5" s="1"/>
      <c r="AB5" s="1"/>
    </row>
    <row r="6" spans="1:37" ht="15.75" thickBot="1">
      <c r="A6" s="95" t="s">
        <v>5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V6" s="1"/>
      <c r="W6" s="1"/>
      <c r="X6" s="1"/>
      <c r="Y6" s="1"/>
      <c r="Z6" s="1"/>
      <c r="AA6" s="1"/>
      <c r="AB6" s="1"/>
    </row>
    <row r="7" spans="1:37" ht="15.75" hidden="1" thickBot="1">
      <c r="A7" s="95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V7" s="1"/>
      <c r="W7" s="1"/>
      <c r="X7" s="1"/>
      <c r="Y7" s="1"/>
      <c r="Z7" s="1"/>
      <c r="AA7" s="1"/>
      <c r="AB7" s="1"/>
    </row>
    <row r="8" spans="1:37" ht="36" customHeight="1" thickBot="1">
      <c r="A8" s="7" t="s">
        <v>7</v>
      </c>
      <c r="B8" s="8"/>
      <c r="C8" s="9"/>
      <c r="D8" s="9"/>
      <c r="E8" s="56" t="s">
        <v>8</v>
      </c>
      <c r="F8" s="58"/>
      <c r="G8" s="9"/>
      <c r="H8" s="56"/>
      <c r="I8" s="57"/>
      <c r="J8" s="57"/>
      <c r="K8" s="57"/>
      <c r="L8" s="57"/>
      <c r="M8" s="57"/>
      <c r="N8" s="57"/>
      <c r="O8" s="58"/>
      <c r="V8" s="1"/>
      <c r="W8" s="1"/>
      <c r="X8" s="1"/>
      <c r="Y8" s="1"/>
      <c r="Z8" s="1"/>
      <c r="AA8" s="1"/>
      <c r="AB8" s="1"/>
    </row>
    <row r="9" spans="1:37" ht="15.75" thickBot="1">
      <c r="A9" s="9"/>
      <c r="E9" s="9"/>
      <c r="F9" s="9"/>
      <c r="G9" s="9"/>
      <c r="H9" s="9"/>
      <c r="I9" s="9"/>
      <c r="J9" s="9"/>
      <c r="K9" s="11"/>
      <c r="L9" s="11"/>
      <c r="M9" s="11"/>
      <c r="N9" s="9"/>
      <c r="V9" s="1"/>
      <c r="W9" s="1"/>
      <c r="X9" s="1"/>
      <c r="Y9" s="1"/>
      <c r="Z9" s="1"/>
      <c r="AA9" s="1"/>
      <c r="AB9" s="1"/>
    </row>
    <row r="10" spans="1:37" ht="36" customHeight="1" thickBot="1">
      <c r="A10" s="7" t="s">
        <v>9</v>
      </c>
      <c r="B10" s="7"/>
      <c r="C10" s="9"/>
      <c r="D10" s="9"/>
      <c r="E10" s="7" t="s">
        <v>10</v>
      </c>
      <c r="F10" s="7"/>
      <c r="G10" s="9"/>
      <c r="H10" s="7" t="s">
        <v>11</v>
      </c>
      <c r="I10" s="56"/>
      <c r="J10" s="57"/>
      <c r="K10" s="57"/>
      <c r="L10" s="57"/>
      <c r="M10" s="57"/>
      <c r="N10" s="57"/>
      <c r="O10" s="58"/>
      <c r="V10" s="1"/>
      <c r="W10" s="1"/>
      <c r="X10" s="1"/>
      <c r="Y10" s="1"/>
      <c r="Z10" s="1"/>
      <c r="AA10" s="1"/>
      <c r="AB10" s="1"/>
    </row>
    <row r="11" spans="1:37" ht="30.75" customHeight="1" thickBot="1">
      <c r="A11" s="9"/>
      <c r="B11" s="9"/>
      <c r="C11" s="9"/>
      <c r="D11" s="9"/>
      <c r="E11" s="9"/>
      <c r="F11" s="9"/>
      <c r="G11" s="9"/>
      <c r="H11" s="9"/>
      <c r="I11" s="9"/>
      <c r="J11" s="9"/>
      <c r="K11" s="11"/>
      <c r="L11" s="11"/>
      <c r="M11" s="11"/>
      <c r="N11" s="9"/>
      <c r="V11" s="1"/>
      <c r="W11" s="1"/>
      <c r="X11" s="1"/>
      <c r="Y11" s="1"/>
      <c r="Z11" s="1"/>
      <c r="AA11" s="1"/>
      <c r="AB11" s="1"/>
    </row>
    <row r="12" spans="1:37" ht="24" customHeight="1" thickBot="1">
      <c r="A12" s="7" t="s">
        <v>12</v>
      </c>
      <c r="B12" s="12">
        <v>0.08</v>
      </c>
      <c r="C12" s="9"/>
      <c r="D12" s="9"/>
      <c r="E12" s="7" t="s">
        <v>13</v>
      </c>
      <c r="F12" s="12">
        <v>0</v>
      </c>
      <c r="G12" s="9"/>
      <c r="H12" s="87" t="s">
        <v>14</v>
      </c>
      <c r="I12" s="88"/>
      <c r="J12" s="89"/>
      <c r="K12" s="90">
        <v>0</v>
      </c>
      <c r="L12" s="91"/>
      <c r="M12" s="91"/>
      <c r="N12" s="91"/>
      <c r="O12" s="92"/>
      <c r="Q12" s="75" t="s">
        <v>15</v>
      </c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14"/>
      <c r="AI12" s="1">
        <f>AB28+AB71+AB114+AB158+AB205+AB248</f>
        <v>0</v>
      </c>
      <c r="AK12" s="15">
        <f>[1]Sheet4!E13-AI12</f>
        <v>0</v>
      </c>
    </row>
    <row r="13" spans="1:37" ht="15.75" thickBot="1">
      <c r="A13" s="9"/>
      <c r="B13" s="9"/>
      <c r="C13" s="9"/>
      <c r="D13" s="9"/>
      <c r="E13" s="9"/>
      <c r="F13" s="9"/>
      <c r="G13" s="9"/>
      <c r="H13" s="9"/>
      <c r="I13" s="9"/>
      <c r="J13" s="9"/>
      <c r="K13" s="11"/>
      <c r="L13" s="11"/>
      <c r="M13" s="11"/>
      <c r="N13" s="9"/>
      <c r="V13" s="1"/>
      <c r="W13" s="1"/>
      <c r="X13" s="1"/>
      <c r="Y13" s="1"/>
      <c r="Z13" s="1"/>
      <c r="AA13" s="1"/>
      <c r="AB13" s="1"/>
    </row>
    <row r="14" spans="1:37" ht="55.5" customHeight="1" thickBot="1">
      <c r="A14" s="81" t="s">
        <v>16</v>
      </c>
      <c r="B14" s="93" t="s">
        <v>17</v>
      </c>
      <c r="C14" s="94"/>
      <c r="D14" s="93" t="s">
        <v>18</v>
      </c>
      <c r="E14" s="94"/>
      <c r="F14" s="81" t="s">
        <v>19</v>
      </c>
      <c r="G14" s="81" t="s">
        <v>20</v>
      </c>
      <c r="H14" s="81" t="s">
        <v>21</v>
      </c>
      <c r="I14" s="81" t="s">
        <v>22</v>
      </c>
      <c r="J14" s="81" t="s">
        <v>23</v>
      </c>
      <c r="K14" s="83" t="s">
        <v>24</v>
      </c>
      <c r="L14" s="83" t="s">
        <v>25</v>
      </c>
      <c r="M14" s="83" t="s">
        <v>26</v>
      </c>
      <c r="N14" s="83" t="s">
        <v>27</v>
      </c>
      <c r="O14" s="85" t="s">
        <v>28</v>
      </c>
      <c r="Q14" s="75" t="s">
        <v>29</v>
      </c>
      <c r="R14" s="75" t="s">
        <v>30</v>
      </c>
      <c r="S14" s="75" t="s">
        <v>31</v>
      </c>
      <c r="T14" s="75" t="s">
        <v>32</v>
      </c>
      <c r="U14" s="75" t="s">
        <v>264</v>
      </c>
      <c r="V14" s="80" t="s">
        <v>33</v>
      </c>
      <c r="W14" s="80" t="s">
        <v>34</v>
      </c>
      <c r="X14" s="80" t="s">
        <v>35</v>
      </c>
      <c r="Y14" s="80" t="s">
        <v>36</v>
      </c>
      <c r="Z14" s="80" t="s">
        <v>37</v>
      </c>
      <c r="AA14" s="80" t="s">
        <v>38</v>
      </c>
      <c r="AB14" s="80" t="s">
        <v>39</v>
      </c>
      <c r="AC14" s="75" t="s">
        <v>40</v>
      </c>
      <c r="AD14" s="75" t="s">
        <v>41</v>
      </c>
      <c r="AE14" s="75" t="s">
        <v>42</v>
      </c>
    </row>
    <row r="15" spans="1:37" ht="39.950000000000003" customHeight="1" thickBot="1">
      <c r="A15" s="82"/>
      <c r="B15" s="7" t="s">
        <v>43</v>
      </c>
      <c r="C15" s="7" t="s">
        <v>44</v>
      </c>
      <c r="D15" s="7" t="s">
        <v>43</v>
      </c>
      <c r="E15" s="7" t="s">
        <v>44</v>
      </c>
      <c r="F15" s="82"/>
      <c r="G15" s="82"/>
      <c r="H15" s="82"/>
      <c r="I15" s="82"/>
      <c r="J15" s="82"/>
      <c r="K15" s="84"/>
      <c r="L15" s="84"/>
      <c r="M15" s="84"/>
      <c r="N15" s="84"/>
      <c r="O15" s="86"/>
      <c r="Q15" s="75"/>
      <c r="R15" s="75"/>
      <c r="S15" s="75"/>
      <c r="T15" s="75"/>
      <c r="U15" s="75"/>
      <c r="V15" s="80"/>
      <c r="W15" s="80"/>
      <c r="X15" s="80"/>
      <c r="Y15" s="80"/>
      <c r="Z15" s="80"/>
      <c r="AA15" s="80"/>
      <c r="AB15" s="80"/>
      <c r="AC15" s="75"/>
      <c r="AD15" s="75"/>
      <c r="AE15" s="75"/>
    </row>
    <row r="16" spans="1:37" ht="18" customHeight="1">
      <c r="A16" s="16" t="s">
        <v>45</v>
      </c>
      <c r="B16" s="17">
        <v>0</v>
      </c>
      <c r="C16" s="17">
        <f>Z16</f>
        <v>0</v>
      </c>
      <c r="D16" s="17">
        <f>B16</f>
        <v>0</v>
      </c>
      <c r="E16" s="17">
        <f>C16</f>
        <v>0</v>
      </c>
      <c r="F16" s="17"/>
      <c r="G16" s="17">
        <f>(B16+C16+F16)+(D16+E16)</f>
        <v>0</v>
      </c>
      <c r="H16" s="17"/>
      <c r="I16" s="17">
        <f>(K12+B16+C16+F16)-H16</f>
        <v>0</v>
      </c>
      <c r="J16" s="17">
        <f>(D16+E16)</f>
        <v>0</v>
      </c>
      <c r="K16" s="17">
        <f>(K12+G16)-H16</f>
        <v>0</v>
      </c>
      <c r="L16" s="17">
        <f>ROUND((I16*8/100)/12,0)</f>
        <v>0</v>
      </c>
      <c r="M16" s="17">
        <f>ROUND((J16*8/100)/12,0)</f>
        <v>0</v>
      </c>
      <c r="N16" s="17">
        <f>L16+M16</f>
        <v>0</v>
      </c>
      <c r="O16" s="101" t="s">
        <v>46</v>
      </c>
      <c r="Q16" s="18"/>
      <c r="R16" s="18"/>
      <c r="S16" s="18"/>
      <c r="T16" s="18"/>
      <c r="U16" s="18"/>
      <c r="V16" s="19"/>
      <c r="W16" s="19"/>
      <c r="X16" s="19"/>
      <c r="Y16" s="19">
        <f>V16+W16+X16</f>
        <v>0</v>
      </c>
      <c r="Z16" s="19">
        <f>ROUND(Y16*10%,0)</f>
        <v>0</v>
      </c>
      <c r="AA16" s="19">
        <v>0</v>
      </c>
      <c r="AB16" s="19">
        <f>AA16-Z16</f>
        <v>0</v>
      </c>
      <c r="AC16" s="20">
        <v>38443</v>
      </c>
      <c r="AD16" s="20">
        <v>38472</v>
      </c>
      <c r="AE16" s="18"/>
    </row>
    <row r="17" spans="1:31" ht="18" customHeight="1">
      <c r="A17" s="21" t="s">
        <v>47</v>
      </c>
      <c r="B17" s="22">
        <v>0</v>
      </c>
      <c r="C17" s="22">
        <f>Z17</f>
        <v>0</v>
      </c>
      <c r="D17" s="22">
        <f t="shared" ref="D17:E27" si="0">B17</f>
        <v>0</v>
      </c>
      <c r="E17" s="22">
        <f t="shared" si="0"/>
        <v>0</v>
      </c>
      <c r="F17" s="22"/>
      <c r="G17" s="22">
        <f t="shared" ref="G17:G27" si="1">(B17+C17+F17)+(D17+E17)</f>
        <v>0</v>
      </c>
      <c r="H17" s="22"/>
      <c r="I17" s="22">
        <f>(I16+B17+C17+F17)-H17</f>
        <v>0</v>
      </c>
      <c r="J17" s="22">
        <f>(J16+D17+E17)</f>
        <v>0</v>
      </c>
      <c r="K17" s="22">
        <f t="shared" ref="K17:K27" si="2">(K16+G17)-H17</f>
        <v>0</v>
      </c>
      <c r="L17" s="22">
        <f t="shared" ref="L17:M27" si="3">ROUND((I17*8/100)/12,0)</f>
        <v>0</v>
      </c>
      <c r="M17" s="22">
        <f t="shared" si="3"/>
        <v>0</v>
      </c>
      <c r="N17" s="22">
        <f t="shared" ref="N17:N27" si="4">L17+M17</f>
        <v>0</v>
      </c>
      <c r="O17" s="76"/>
      <c r="Q17" s="18"/>
      <c r="R17" s="18"/>
      <c r="S17" s="18"/>
      <c r="T17" s="18"/>
      <c r="U17" s="18"/>
      <c r="V17" s="19"/>
      <c r="W17" s="19"/>
      <c r="X17" s="19"/>
      <c r="Y17" s="19">
        <f>V17+W17+X17</f>
        <v>0</v>
      </c>
      <c r="Z17" s="19">
        <f>ROUND(Y17*10%,0)</f>
        <v>0</v>
      </c>
      <c r="AA17" s="19">
        <v>0</v>
      </c>
      <c r="AB17" s="19">
        <f>AA17-Z17</f>
        <v>0</v>
      </c>
      <c r="AC17" s="20">
        <v>38473</v>
      </c>
      <c r="AD17" s="20">
        <v>38503</v>
      </c>
      <c r="AE17" s="18"/>
    </row>
    <row r="18" spans="1:31" ht="18" customHeight="1">
      <c r="A18" s="21" t="s">
        <v>48</v>
      </c>
      <c r="B18" s="22">
        <v>0</v>
      </c>
      <c r="C18" s="22">
        <f>Z18</f>
        <v>0</v>
      </c>
      <c r="D18" s="22">
        <f t="shared" si="0"/>
        <v>0</v>
      </c>
      <c r="E18" s="22">
        <f t="shared" si="0"/>
        <v>0</v>
      </c>
      <c r="F18" s="22"/>
      <c r="G18" s="22">
        <f t="shared" si="1"/>
        <v>0</v>
      </c>
      <c r="H18" s="22"/>
      <c r="I18" s="22">
        <f t="shared" ref="I18:I27" si="5">(I17+B18+C18+F18)-H18</f>
        <v>0</v>
      </c>
      <c r="J18" s="22">
        <f t="shared" ref="J18:J27" si="6">(J17+D18+E18)</f>
        <v>0</v>
      </c>
      <c r="K18" s="22">
        <f t="shared" si="2"/>
        <v>0</v>
      </c>
      <c r="L18" s="22">
        <f t="shared" si="3"/>
        <v>0</v>
      </c>
      <c r="M18" s="22">
        <f t="shared" si="3"/>
        <v>0</v>
      </c>
      <c r="N18" s="22">
        <f t="shared" si="4"/>
        <v>0</v>
      </c>
      <c r="O18" s="76"/>
      <c r="Q18" s="18"/>
      <c r="R18" s="18"/>
      <c r="S18" s="18"/>
      <c r="T18" s="18"/>
      <c r="U18" s="18"/>
      <c r="V18" s="19"/>
      <c r="W18" s="19"/>
      <c r="X18" s="19"/>
      <c r="Y18" s="19">
        <f>V18+W18+X18</f>
        <v>0</v>
      </c>
      <c r="Z18" s="19">
        <f>ROUND(Y18*10%,0)</f>
        <v>0</v>
      </c>
      <c r="AA18" s="19">
        <v>0</v>
      </c>
      <c r="AB18" s="19">
        <f>AA18-Z18</f>
        <v>0</v>
      </c>
      <c r="AC18" s="20">
        <v>38504</v>
      </c>
      <c r="AD18" s="20">
        <v>38533</v>
      </c>
      <c r="AE18" s="18"/>
    </row>
    <row r="19" spans="1:31" ht="18" customHeight="1">
      <c r="A19" s="21" t="s">
        <v>49</v>
      </c>
      <c r="B19" s="22">
        <v>0</v>
      </c>
      <c r="C19" s="22">
        <f>Z19</f>
        <v>0</v>
      </c>
      <c r="D19" s="22">
        <f t="shared" si="0"/>
        <v>0</v>
      </c>
      <c r="E19" s="22">
        <f t="shared" si="0"/>
        <v>0</v>
      </c>
      <c r="F19" s="22"/>
      <c r="G19" s="22">
        <f t="shared" si="1"/>
        <v>0</v>
      </c>
      <c r="H19" s="22"/>
      <c r="I19" s="22">
        <f t="shared" si="5"/>
        <v>0</v>
      </c>
      <c r="J19" s="22">
        <f t="shared" si="6"/>
        <v>0</v>
      </c>
      <c r="K19" s="22">
        <f t="shared" si="2"/>
        <v>0</v>
      </c>
      <c r="L19" s="22">
        <f t="shared" si="3"/>
        <v>0</v>
      </c>
      <c r="M19" s="22">
        <f t="shared" si="3"/>
        <v>0</v>
      </c>
      <c r="N19" s="22">
        <f t="shared" si="4"/>
        <v>0</v>
      </c>
      <c r="O19" s="76"/>
      <c r="Q19" s="18"/>
      <c r="R19" s="18"/>
      <c r="S19" s="18"/>
      <c r="T19" s="18"/>
      <c r="U19" s="18"/>
      <c r="V19" s="19"/>
      <c r="W19" s="19"/>
      <c r="X19" s="19"/>
      <c r="Y19" s="19">
        <f>V19+W19+X19</f>
        <v>0</v>
      </c>
      <c r="Z19" s="19">
        <f>ROUND(Y19*10%,0)</f>
        <v>0</v>
      </c>
      <c r="AA19" s="19">
        <v>0</v>
      </c>
      <c r="AB19" s="19">
        <f t="shared" ref="AB19:AB27" si="7">AA19-Z19</f>
        <v>0</v>
      </c>
      <c r="AC19" s="20">
        <v>38534</v>
      </c>
      <c r="AD19" s="20">
        <v>38564</v>
      </c>
      <c r="AE19" s="18"/>
    </row>
    <row r="20" spans="1:31" ht="18" customHeight="1">
      <c r="A20" s="21" t="s">
        <v>50</v>
      </c>
      <c r="B20" s="22">
        <v>0</v>
      </c>
      <c r="C20" s="22">
        <f>Z20</f>
        <v>0</v>
      </c>
      <c r="D20" s="22">
        <f t="shared" si="0"/>
        <v>0</v>
      </c>
      <c r="E20" s="22">
        <f t="shared" si="0"/>
        <v>0</v>
      </c>
      <c r="F20" s="22"/>
      <c r="G20" s="22">
        <f t="shared" si="1"/>
        <v>0</v>
      </c>
      <c r="H20" s="22"/>
      <c r="I20" s="22">
        <f t="shared" si="5"/>
        <v>0</v>
      </c>
      <c r="J20" s="22">
        <f t="shared" si="6"/>
        <v>0</v>
      </c>
      <c r="K20" s="22">
        <f t="shared" si="2"/>
        <v>0</v>
      </c>
      <c r="L20" s="22">
        <f t="shared" si="3"/>
        <v>0</v>
      </c>
      <c r="M20" s="22">
        <f t="shared" si="3"/>
        <v>0</v>
      </c>
      <c r="N20" s="22">
        <f t="shared" si="4"/>
        <v>0</v>
      </c>
      <c r="O20" s="76"/>
      <c r="Q20" s="18"/>
      <c r="R20" s="18"/>
      <c r="S20" s="18"/>
      <c r="T20" s="18"/>
      <c r="U20" s="18"/>
      <c r="V20" s="19"/>
      <c r="W20" s="19"/>
      <c r="X20" s="19"/>
      <c r="Y20" s="19">
        <f t="shared" ref="Y20:Y27" si="8">V20+W20+X20</f>
        <v>0</v>
      </c>
      <c r="Z20" s="19">
        <f t="shared" ref="Z20:Z27" si="9">ROUND(Y20*10%,0)</f>
        <v>0</v>
      </c>
      <c r="AA20" s="19">
        <v>0</v>
      </c>
      <c r="AB20" s="19">
        <f t="shared" si="7"/>
        <v>0</v>
      </c>
      <c r="AC20" s="20">
        <v>38565</v>
      </c>
      <c r="AD20" s="20">
        <v>38595</v>
      </c>
      <c r="AE20" s="18"/>
    </row>
    <row r="21" spans="1:31" ht="18" customHeight="1">
      <c r="A21" s="23" t="s">
        <v>51</v>
      </c>
      <c r="B21" s="24">
        <f>Z21</f>
        <v>0</v>
      </c>
      <c r="C21" s="24">
        <v>0</v>
      </c>
      <c r="D21" s="24">
        <f t="shared" si="0"/>
        <v>0</v>
      </c>
      <c r="E21" s="24">
        <f t="shared" si="0"/>
        <v>0</v>
      </c>
      <c r="F21" s="24"/>
      <c r="G21" s="24">
        <f t="shared" si="1"/>
        <v>0</v>
      </c>
      <c r="H21" s="24"/>
      <c r="I21" s="24">
        <f t="shared" si="5"/>
        <v>0</v>
      </c>
      <c r="J21" s="24">
        <f t="shared" si="6"/>
        <v>0</v>
      </c>
      <c r="K21" s="24">
        <f t="shared" si="2"/>
        <v>0</v>
      </c>
      <c r="L21" s="24">
        <f t="shared" si="3"/>
        <v>0</v>
      </c>
      <c r="M21" s="24">
        <f t="shared" si="3"/>
        <v>0</v>
      </c>
      <c r="N21" s="24">
        <f t="shared" si="4"/>
        <v>0</v>
      </c>
      <c r="O21" s="76"/>
      <c r="Q21" s="18"/>
      <c r="R21" s="18"/>
      <c r="S21" s="18"/>
      <c r="T21" s="18"/>
      <c r="U21" s="18"/>
      <c r="V21" s="19"/>
      <c r="W21" s="19"/>
      <c r="X21" s="19"/>
      <c r="Y21" s="19">
        <f t="shared" si="8"/>
        <v>0</v>
      </c>
      <c r="Z21" s="19">
        <f t="shared" si="9"/>
        <v>0</v>
      </c>
      <c r="AA21" s="19">
        <v>0</v>
      </c>
      <c r="AB21" s="19">
        <f t="shared" si="7"/>
        <v>0</v>
      </c>
      <c r="AC21" s="20">
        <v>38596</v>
      </c>
      <c r="AD21" s="20">
        <v>38625</v>
      </c>
      <c r="AE21" s="18"/>
    </row>
    <row r="22" spans="1:31" ht="18" customHeight="1">
      <c r="A22" s="21" t="s">
        <v>52</v>
      </c>
      <c r="B22" s="22">
        <v>0</v>
      </c>
      <c r="C22" s="22">
        <f t="shared" ref="C22:C27" si="10">Z22</f>
        <v>0</v>
      </c>
      <c r="D22" s="22">
        <f t="shared" si="0"/>
        <v>0</v>
      </c>
      <c r="E22" s="22">
        <f t="shared" si="0"/>
        <v>0</v>
      </c>
      <c r="F22" s="22"/>
      <c r="G22" s="22">
        <f t="shared" si="1"/>
        <v>0</v>
      </c>
      <c r="H22" s="22"/>
      <c r="I22" s="22">
        <f>(I21+B22+C22+F22)-H22</f>
        <v>0</v>
      </c>
      <c r="J22" s="22">
        <f>(J21+D22+E22)</f>
        <v>0</v>
      </c>
      <c r="K22" s="22">
        <f>(K21+G22)-H22</f>
        <v>0</v>
      </c>
      <c r="L22" s="22">
        <f t="shared" si="3"/>
        <v>0</v>
      </c>
      <c r="M22" s="22">
        <f t="shared" si="3"/>
        <v>0</v>
      </c>
      <c r="N22" s="22">
        <f t="shared" si="4"/>
        <v>0</v>
      </c>
      <c r="O22" s="76"/>
      <c r="Q22" s="18"/>
      <c r="R22" s="18"/>
      <c r="S22" s="18"/>
      <c r="T22" s="18"/>
      <c r="U22" s="18"/>
      <c r="V22" s="19"/>
      <c r="W22" s="19"/>
      <c r="X22" s="19"/>
      <c r="Y22" s="19">
        <f t="shared" si="8"/>
        <v>0</v>
      </c>
      <c r="Z22" s="19">
        <f t="shared" si="9"/>
        <v>0</v>
      </c>
      <c r="AA22" s="19">
        <v>0</v>
      </c>
      <c r="AB22" s="19">
        <f t="shared" si="7"/>
        <v>0</v>
      </c>
      <c r="AC22" s="20">
        <v>38626</v>
      </c>
      <c r="AD22" s="20">
        <v>38656</v>
      </c>
      <c r="AE22" s="18"/>
    </row>
    <row r="23" spans="1:31" ht="18" customHeight="1">
      <c r="A23" s="21" t="s">
        <v>53</v>
      </c>
      <c r="B23" s="22">
        <v>0</v>
      </c>
      <c r="C23" s="22">
        <f t="shared" si="10"/>
        <v>0</v>
      </c>
      <c r="D23" s="22">
        <f t="shared" si="0"/>
        <v>0</v>
      </c>
      <c r="E23" s="22">
        <f t="shared" si="0"/>
        <v>0</v>
      </c>
      <c r="F23" s="22"/>
      <c r="G23" s="22">
        <f t="shared" si="1"/>
        <v>0</v>
      </c>
      <c r="H23" s="22"/>
      <c r="I23" s="22">
        <f t="shared" si="5"/>
        <v>0</v>
      </c>
      <c r="J23" s="22">
        <f t="shared" si="6"/>
        <v>0</v>
      </c>
      <c r="K23" s="22">
        <f t="shared" si="2"/>
        <v>0</v>
      </c>
      <c r="L23" s="22">
        <f t="shared" si="3"/>
        <v>0</v>
      </c>
      <c r="M23" s="22">
        <f t="shared" si="3"/>
        <v>0</v>
      </c>
      <c r="N23" s="22">
        <f t="shared" si="4"/>
        <v>0</v>
      </c>
      <c r="O23" s="76"/>
      <c r="Q23" s="18"/>
      <c r="R23" s="18"/>
      <c r="S23" s="18"/>
      <c r="T23" s="18"/>
      <c r="U23" s="18"/>
      <c r="V23" s="19"/>
      <c r="W23" s="19"/>
      <c r="X23" s="19"/>
      <c r="Y23" s="19">
        <f t="shared" si="8"/>
        <v>0</v>
      </c>
      <c r="Z23" s="19">
        <f t="shared" si="9"/>
        <v>0</v>
      </c>
      <c r="AA23" s="19">
        <v>0</v>
      </c>
      <c r="AB23" s="19">
        <f t="shared" si="7"/>
        <v>0</v>
      </c>
      <c r="AC23" s="20">
        <v>38657</v>
      </c>
      <c r="AD23" s="20">
        <v>38686</v>
      </c>
      <c r="AE23" s="18"/>
    </row>
    <row r="24" spans="1:31" ht="18" customHeight="1">
      <c r="A24" s="21" t="s">
        <v>54</v>
      </c>
      <c r="B24" s="22">
        <v>0</v>
      </c>
      <c r="C24" s="22">
        <f t="shared" si="10"/>
        <v>0</v>
      </c>
      <c r="D24" s="22">
        <f t="shared" si="0"/>
        <v>0</v>
      </c>
      <c r="E24" s="22">
        <f t="shared" si="0"/>
        <v>0</v>
      </c>
      <c r="F24" s="22"/>
      <c r="G24" s="22">
        <f t="shared" si="1"/>
        <v>0</v>
      </c>
      <c r="H24" s="22"/>
      <c r="I24" s="22">
        <f t="shared" si="5"/>
        <v>0</v>
      </c>
      <c r="J24" s="22">
        <f t="shared" si="6"/>
        <v>0</v>
      </c>
      <c r="K24" s="22">
        <f t="shared" si="2"/>
        <v>0</v>
      </c>
      <c r="L24" s="22">
        <f t="shared" si="3"/>
        <v>0</v>
      </c>
      <c r="M24" s="22">
        <f t="shared" si="3"/>
        <v>0</v>
      </c>
      <c r="N24" s="22">
        <f t="shared" si="4"/>
        <v>0</v>
      </c>
      <c r="O24" s="76"/>
      <c r="Q24" s="18"/>
      <c r="R24" s="18"/>
      <c r="S24" s="18"/>
      <c r="T24" s="18"/>
      <c r="U24" s="18"/>
      <c r="V24" s="19"/>
      <c r="W24" s="19"/>
      <c r="X24" s="19"/>
      <c r="Y24" s="19">
        <f t="shared" si="8"/>
        <v>0</v>
      </c>
      <c r="Z24" s="19">
        <f t="shared" si="9"/>
        <v>0</v>
      </c>
      <c r="AA24" s="19">
        <v>0</v>
      </c>
      <c r="AB24" s="19">
        <f t="shared" si="7"/>
        <v>0</v>
      </c>
      <c r="AC24" s="20">
        <v>38687</v>
      </c>
      <c r="AD24" s="20">
        <v>38717</v>
      </c>
      <c r="AE24" s="18"/>
    </row>
    <row r="25" spans="1:31" ht="18" customHeight="1">
      <c r="A25" s="21" t="s">
        <v>55</v>
      </c>
      <c r="B25" s="22">
        <v>0</v>
      </c>
      <c r="C25" s="22">
        <f t="shared" si="10"/>
        <v>0</v>
      </c>
      <c r="D25" s="22">
        <f t="shared" si="0"/>
        <v>0</v>
      </c>
      <c r="E25" s="22">
        <f t="shared" si="0"/>
        <v>0</v>
      </c>
      <c r="F25" s="22"/>
      <c r="G25" s="22">
        <f t="shared" si="1"/>
        <v>0</v>
      </c>
      <c r="H25" s="22"/>
      <c r="I25" s="22">
        <f t="shared" si="5"/>
        <v>0</v>
      </c>
      <c r="J25" s="22">
        <f t="shared" si="6"/>
        <v>0</v>
      </c>
      <c r="K25" s="22">
        <f t="shared" si="2"/>
        <v>0</v>
      </c>
      <c r="L25" s="22">
        <f t="shared" si="3"/>
        <v>0</v>
      </c>
      <c r="M25" s="22">
        <f t="shared" si="3"/>
        <v>0</v>
      </c>
      <c r="N25" s="22">
        <f t="shared" si="4"/>
        <v>0</v>
      </c>
      <c r="O25" s="76"/>
      <c r="Q25" s="18"/>
      <c r="R25" s="18"/>
      <c r="S25" s="18"/>
      <c r="T25" s="18"/>
      <c r="U25" s="18"/>
      <c r="V25" s="19"/>
      <c r="W25" s="19"/>
      <c r="X25" s="19"/>
      <c r="Y25" s="19">
        <f t="shared" si="8"/>
        <v>0</v>
      </c>
      <c r="Z25" s="19">
        <f t="shared" si="9"/>
        <v>0</v>
      </c>
      <c r="AA25" s="19">
        <v>0</v>
      </c>
      <c r="AB25" s="19">
        <f t="shared" si="7"/>
        <v>0</v>
      </c>
      <c r="AC25" s="20">
        <v>38718</v>
      </c>
      <c r="AD25" s="20">
        <v>38748</v>
      </c>
      <c r="AE25" s="18"/>
    </row>
    <row r="26" spans="1:31" ht="18" customHeight="1">
      <c r="A26" s="21" t="s">
        <v>56</v>
      </c>
      <c r="B26" s="22">
        <v>0</v>
      </c>
      <c r="C26" s="22">
        <f t="shared" si="10"/>
        <v>0</v>
      </c>
      <c r="D26" s="22">
        <f t="shared" si="0"/>
        <v>0</v>
      </c>
      <c r="E26" s="22">
        <f t="shared" si="0"/>
        <v>0</v>
      </c>
      <c r="F26" s="22"/>
      <c r="G26" s="22">
        <f t="shared" si="1"/>
        <v>0</v>
      </c>
      <c r="H26" s="22"/>
      <c r="I26" s="22">
        <f t="shared" si="5"/>
        <v>0</v>
      </c>
      <c r="J26" s="22">
        <f t="shared" si="6"/>
        <v>0</v>
      </c>
      <c r="K26" s="22">
        <f t="shared" si="2"/>
        <v>0</v>
      </c>
      <c r="L26" s="22">
        <f t="shared" si="3"/>
        <v>0</v>
      </c>
      <c r="M26" s="22">
        <f t="shared" si="3"/>
        <v>0</v>
      </c>
      <c r="N26" s="22">
        <f t="shared" si="4"/>
        <v>0</v>
      </c>
      <c r="O26" s="76"/>
      <c r="Q26" s="18"/>
      <c r="R26" s="18"/>
      <c r="S26" s="18"/>
      <c r="T26" s="18"/>
      <c r="U26" s="18"/>
      <c r="V26" s="19"/>
      <c r="W26" s="19"/>
      <c r="X26" s="19"/>
      <c r="Y26" s="19">
        <f t="shared" si="8"/>
        <v>0</v>
      </c>
      <c r="Z26" s="19">
        <f t="shared" si="9"/>
        <v>0</v>
      </c>
      <c r="AA26" s="19">
        <v>0</v>
      </c>
      <c r="AB26" s="19">
        <f t="shared" si="7"/>
        <v>0</v>
      </c>
      <c r="AC26" s="20">
        <v>38749</v>
      </c>
      <c r="AD26" s="20">
        <v>38776</v>
      </c>
      <c r="AE26" s="18"/>
    </row>
    <row r="27" spans="1:31" ht="18" customHeight="1" thickBot="1">
      <c r="A27" s="23" t="s">
        <v>57</v>
      </c>
      <c r="B27" s="24">
        <v>0</v>
      </c>
      <c r="C27" s="24">
        <f t="shared" si="10"/>
        <v>0</v>
      </c>
      <c r="D27" s="24">
        <f t="shared" si="0"/>
        <v>0</v>
      </c>
      <c r="E27" s="24">
        <f t="shared" si="0"/>
        <v>0</v>
      </c>
      <c r="F27" s="24"/>
      <c r="G27" s="24">
        <f t="shared" si="1"/>
        <v>0</v>
      </c>
      <c r="H27" s="24"/>
      <c r="I27" s="24">
        <f t="shared" si="5"/>
        <v>0</v>
      </c>
      <c r="J27" s="24">
        <f t="shared" si="6"/>
        <v>0</v>
      </c>
      <c r="K27" s="24">
        <f t="shared" si="2"/>
        <v>0</v>
      </c>
      <c r="L27" s="24">
        <f t="shared" si="3"/>
        <v>0</v>
      </c>
      <c r="M27" s="24">
        <f t="shared" si="3"/>
        <v>0</v>
      </c>
      <c r="N27" s="24">
        <f t="shared" si="4"/>
        <v>0</v>
      </c>
      <c r="O27" s="98"/>
      <c r="Q27" s="18"/>
      <c r="R27" s="18"/>
      <c r="S27" s="18"/>
      <c r="T27" s="18"/>
      <c r="U27" s="18"/>
      <c r="V27" s="19"/>
      <c r="W27" s="19"/>
      <c r="X27" s="19"/>
      <c r="Y27" s="19">
        <f t="shared" si="8"/>
        <v>0</v>
      </c>
      <c r="Z27" s="19">
        <f t="shared" si="9"/>
        <v>0</v>
      </c>
      <c r="AA27" s="19">
        <v>0</v>
      </c>
      <c r="AB27" s="19">
        <f t="shared" si="7"/>
        <v>0</v>
      </c>
      <c r="AC27" s="20">
        <v>38777</v>
      </c>
      <c r="AD27" s="20">
        <v>38807</v>
      </c>
      <c r="AE27" s="18"/>
    </row>
    <row r="28" spans="1:31" ht="18" customHeight="1" thickBot="1">
      <c r="A28" s="7" t="s">
        <v>58</v>
      </c>
      <c r="B28" s="25">
        <f t="shared" ref="B28:N28" si="11">SUM(B16:B27)</f>
        <v>0</v>
      </c>
      <c r="C28" s="25">
        <f t="shared" si="11"/>
        <v>0</v>
      </c>
      <c r="D28" s="25">
        <f t="shared" si="11"/>
        <v>0</v>
      </c>
      <c r="E28" s="25">
        <f t="shared" si="11"/>
        <v>0</v>
      </c>
      <c r="F28" s="25">
        <f t="shared" si="11"/>
        <v>0</v>
      </c>
      <c r="G28" s="25">
        <f t="shared" si="11"/>
        <v>0</v>
      </c>
      <c r="H28" s="25">
        <f t="shared" si="11"/>
        <v>0</v>
      </c>
      <c r="I28" s="25">
        <f t="shared" si="11"/>
        <v>0</v>
      </c>
      <c r="J28" s="25">
        <f t="shared" si="11"/>
        <v>0</v>
      </c>
      <c r="K28" s="25">
        <f t="shared" si="11"/>
        <v>0</v>
      </c>
      <c r="L28" s="25">
        <f t="shared" si="11"/>
        <v>0</v>
      </c>
      <c r="M28" s="25">
        <f t="shared" si="11"/>
        <v>0</v>
      </c>
      <c r="N28" s="13">
        <f t="shared" si="11"/>
        <v>0</v>
      </c>
      <c r="O28" s="26"/>
      <c r="Q28" s="77" t="s">
        <v>36</v>
      </c>
      <c r="R28" s="78"/>
      <c r="S28" s="78"/>
      <c r="T28" s="79"/>
      <c r="U28" s="27"/>
      <c r="V28" s="28">
        <f t="shared" ref="V28:AB28" si="12">SUM(V16:V27)</f>
        <v>0</v>
      </c>
      <c r="W28" s="28">
        <f t="shared" si="12"/>
        <v>0</v>
      </c>
      <c r="X28" s="28">
        <f t="shared" si="12"/>
        <v>0</v>
      </c>
      <c r="Y28" s="28">
        <f t="shared" si="12"/>
        <v>0</v>
      </c>
      <c r="Z28" s="28">
        <f t="shared" si="12"/>
        <v>0</v>
      </c>
      <c r="AA28" s="28">
        <f t="shared" si="12"/>
        <v>0</v>
      </c>
      <c r="AB28" s="28">
        <f t="shared" si="12"/>
        <v>0</v>
      </c>
      <c r="AC28" s="18"/>
      <c r="AD28" s="18"/>
      <c r="AE28" s="18"/>
    </row>
    <row r="29" spans="1:31" ht="15.75" thickBot="1">
      <c r="A29" s="9"/>
      <c r="B29" s="9"/>
      <c r="C29" s="9"/>
      <c r="D29" s="9"/>
      <c r="E29" s="9"/>
      <c r="F29" s="9"/>
      <c r="G29" s="9"/>
      <c r="H29" s="9"/>
      <c r="I29" s="9"/>
      <c r="J29" s="9"/>
      <c r="K29" s="11"/>
      <c r="L29" s="11"/>
      <c r="M29" s="11"/>
      <c r="N29" s="11"/>
    </row>
    <row r="30" spans="1:31" ht="18" customHeight="1" thickBot="1">
      <c r="A30" s="9"/>
      <c r="B30" s="11"/>
      <c r="C30" s="11"/>
      <c r="D30" s="11"/>
      <c r="E30" s="9"/>
      <c r="F30" s="8">
        <v>1</v>
      </c>
      <c r="G30" s="57" t="s">
        <v>59</v>
      </c>
      <c r="H30" s="57"/>
      <c r="I30" s="57"/>
      <c r="J30" s="57"/>
      <c r="K30" s="58"/>
      <c r="L30" s="25">
        <f>K12</f>
        <v>0</v>
      </c>
      <c r="M30" s="5"/>
      <c r="O30" s="1"/>
      <c r="S30" s="29"/>
      <c r="T30" s="29"/>
      <c r="U30" s="29"/>
      <c r="AA30" s="15"/>
      <c r="AB30" s="15"/>
    </row>
    <row r="31" spans="1:31" ht="18" customHeight="1" thickBot="1">
      <c r="A31" s="9"/>
      <c r="B31" s="9"/>
      <c r="C31" s="9"/>
      <c r="D31" s="9"/>
      <c r="E31" s="9"/>
      <c r="F31" s="8">
        <v>2</v>
      </c>
      <c r="G31" s="57" t="s">
        <v>60</v>
      </c>
      <c r="H31" s="57"/>
      <c r="I31" s="57"/>
      <c r="J31" s="57"/>
      <c r="K31" s="58"/>
      <c r="L31" s="25">
        <f>B28+C28</f>
        <v>0</v>
      </c>
      <c r="M31" s="5"/>
      <c r="O31" s="1"/>
      <c r="S31" s="29"/>
      <c r="T31" s="29"/>
      <c r="U31" s="29"/>
      <c r="AA31" s="15"/>
      <c r="AB31" s="15"/>
    </row>
    <row r="32" spans="1:31" ht="18" customHeight="1" thickBot="1">
      <c r="A32" s="9"/>
      <c r="B32" s="9"/>
      <c r="C32" s="9"/>
      <c r="D32" s="9"/>
      <c r="E32" s="9"/>
      <c r="F32" s="8">
        <v>3</v>
      </c>
      <c r="G32" s="57" t="s">
        <v>61</v>
      </c>
      <c r="H32" s="57"/>
      <c r="I32" s="57"/>
      <c r="J32" s="57"/>
      <c r="K32" s="58"/>
      <c r="L32" s="25">
        <f>F28</f>
        <v>0</v>
      </c>
      <c r="M32" s="5"/>
      <c r="O32" s="1"/>
      <c r="S32" s="29"/>
      <c r="T32" s="29"/>
      <c r="U32" s="29"/>
      <c r="AA32" s="15"/>
      <c r="AB32" s="15"/>
    </row>
    <row r="33" spans="1:28" ht="18" customHeight="1" thickBot="1">
      <c r="A33" s="9"/>
      <c r="B33" s="9"/>
      <c r="C33" s="9"/>
      <c r="D33" s="9"/>
      <c r="E33" s="9"/>
      <c r="F33" s="8">
        <v>4</v>
      </c>
      <c r="G33" s="57" t="s">
        <v>62</v>
      </c>
      <c r="H33" s="57"/>
      <c r="I33" s="57"/>
      <c r="J33" s="57"/>
      <c r="K33" s="58"/>
      <c r="L33" s="25">
        <f>L31+L32</f>
        <v>0</v>
      </c>
      <c r="M33" s="5"/>
      <c r="O33" s="1"/>
      <c r="S33" s="29"/>
      <c r="T33" s="29"/>
      <c r="U33" s="29"/>
      <c r="AA33" s="15"/>
      <c r="AB33" s="15"/>
    </row>
    <row r="34" spans="1:28" ht="18" customHeight="1" thickBot="1">
      <c r="A34" s="9"/>
      <c r="B34" s="9"/>
      <c r="C34" s="9"/>
      <c r="D34" s="9"/>
      <c r="E34" s="9"/>
      <c r="F34" s="8">
        <v>5</v>
      </c>
      <c r="G34" s="57" t="s">
        <v>18</v>
      </c>
      <c r="H34" s="57"/>
      <c r="I34" s="57"/>
      <c r="J34" s="57"/>
      <c r="K34" s="58"/>
      <c r="L34" s="25">
        <f>D28+E28</f>
        <v>0</v>
      </c>
      <c r="M34" s="5"/>
      <c r="O34" s="1"/>
      <c r="S34" s="29"/>
      <c r="T34" s="29"/>
      <c r="U34" s="29"/>
      <c r="AA34" s="15"/>
      <c r="AB34" s="15"/>
    </row>
    <row r="35" spans="1:28" ht="18" customHeight="1" thickBot="1">
      <c r="A35" s="9"/>
      <c r="B35" s="9"/>
      <c r="C35" s="9"/>
      <c r="D35" s="9"/>
      <c r="E35" s="9"/>
      <c r="F35" s="8">
        <v>6</v>
      </c>
      <c r="G35" s="57" t="s">
        <v>63</v>
      </c>
      <c r="H35" s="57"/>
      <c r="I35" s="57"/>
      <c r="J35" s="57"/>
      <c r="K35" s="58"/>
      <c r="L35" s="25">
        <f>L30+L33+L34</f>
        <v>0</v>
      </c>
      <c r="M35" s="5"/>
      <c r="O35" s="1"/>
      <c r="S35" s="29"/>
      <c r="T35" s="29"/>
      <c r="U35" s="29"/>
      <c r="AA35" s="15"/>
      <c r="AB35" s="15"/>
    </row>
    <row r="36" spans="1:28" ht="18" customHeight="1" thickBot="1">
      <c r="A36" s="9"/>
      <c r="B36" s="9"/>
      <c r="C36" s="9"/>
      <c r="D36" s="9"/>
      <c r="E36" s="9"/>
      <c r="F36" s="8">
        <v>7</v>
      </c>
      <c r="G36" s="57" t="s">
        <v>64</v>
      </c>
      <c r="H36" s="57"/>
      <c r="I36" s="57"/>
      <c r="J36" s="57"/>
      <c r="K36" s="58"/>
      <c r="L36" s="25">
        <f>H28</f>
        <v>0</v>
      </c>
      <c r="M36" s="5"/>
      <c r="O36" s="1"/>
      <c r="S36" s="29"/>
      <c r="T36" s="29"/>
      <c r="U36" s="29"/>
      <c r="AA36" s="15"/>
      <c r="AB36" s="15"/>
    </row>
    <row r="37" spans="1:28" ht="18" customHeight="1" thickBot="1">
      <c r="A37" s="9"/>
      <c r="B37" s="9"/>
      <c r="C37" s="9"/>
      <c r="D37" s="9"/>
      <c r="E37" s="9"/>
      <c r="F37" s="8">
        <v>8</v>
      </c>
      <c r="G37" s="57" t="s">
        <v>25</v>
      </c>
      <c r="H37" s="57"/>
      <c r="I37" s="57"/>
      <c r="J37" s="57"/>
      <c r="K37" s="58"/>
      <c r="L37" s="25">
        <f>L28</f>
        <v>0</v>
      </c>
      <c r="M37" s="5"/>
      <c r="O37" s="1"/>
      <c r="S37" s="29"/>
      <c r="T37" s="29"/>
      <c r="U37" s="29"/>
      <c r="AA37" s="15"/>
      <c r="AB37" s="15"/>
    </row>
    <row r="38" spans="1:28" ht="18" customHeight="1" thickBot="1">
      <c r="A38" s="9"/>
      <c r="B38" s="9"/>
      <c r="C38" s="9"/>
      <c r="D38" s="9"/>
      <c r="E38" s="9"/>
      <c r="F38" s="8">
        <v>9</v>
      </c>
      <c r="G38" s="57" t="s">
        <v>26</v>
      </c>
      <c r="H38" s="57"/>
      <c r="I38" s="57"/>
      <c r="J38" s="57"/>
      <c r="K38" s="58"/>
      <c r="L38" s="25">
        <f>M28</f>
        <v>0</v>
      </c>
      <c r="M38" s="5"/>
      <c r="O38" s="1"/>
      <c r="S38" s="29"/>
      <c r="T38" s="29"/>
      <c r="U38" s="29"/>
      <c r="AA38" s="15"/>
      <c r="AB38" s="15"/>
    </row>
    <row r="39" spans="1:28" ht="18" customHeight="1" thickBot="1">
      <c r="A39" s="9"/>
      <c r="B39" s="9"/>
      <c r="C39" s="9"/>
      <c r="D39" s="9"/>
      <c r="E39" s="9"/>
      <c r="F39" s="8">
        <v>10</v>
      </c>
      <c r="G39" s="57" t="s">
        <v>65</v>
      </c>
      <c r="H39" s="57"/>
      <c r="I39" s="57"/>
      <c r="J39" s="57"/>
      <c r="K39" s="58"/>
      <c r="L39" s="25">
        <f>N28</f>
        <v>0</v>
      </c>
      <c r="M39" s="5"/>
      <c r="O39" s="1"/>
      <c r="S39" s="29"/>
      <c r="T39" s="29"/>
      <c r="U39" s="29"/>
      <c r="AA39" s="15"/>
      <c r="AB39" s="15"/>
    </row>
    <row r="40" spans="1:28" ht="18" customHeight="1" thickBot="1">
      <c r="A40" s="9"/>
      <c r="B40" s="9"/>
      <c r="C40" s="9"/>
      <c r="D40" s="9"/>
      <c r="E40" s="9"/>
      <c r="F40" s="8">
        <v>11</v>
      </c>
      <c r="G40" s="57" t="s">
        <v>66</v>
      </c>
      <c r="H40" s="57"/>
      <c r="I40" s="57"/>
      <c r="J40" s="57"/>
      <c r="K40" s="58"/>
      <c r="L40" s="25">
        <f>L35-L36+L39</f>
        <v>0</v>
      </c>
      <c r="M40" s="5"/>
      <c r="O40" s="1"/>
      <c r="S40" s="29"/>
      <c r="T40" s="29"/>
      <c r="U40" s="29"/>
      <c r="AA40" s="15"/>
      <c r="AB40" s="15"/>
    </row>
    <row r="41" spans="1:28">
      <c r="A41" s="9"/>
      <c r="B41" s="9"/>
      <c r="C41" s="9"/>
      <c r="D41" s="9"/>
      <c r="E41" s="9"/>
      <c r="F41" s="9"/>
      <c r="G41" s="30"/>
      <c r="H41" s="30"/>
      <c r="I41" s="30"/>
      <c r="J41" s="30"/>
      <c r="K41" s="30"/>
      <c r="L41" s="30"/>
      <c r="M41" s="30"/>
      <c r="N41" s="11"/>
    </row>
    <row r="42" spans="1:28"/>
    <row r="43" spans="1:28"/>
    <row r="44" spans="1:28" ht="18">
      <c r="A44" s="73" t="s">
        <v>2</v>
      </c>
      <c r="B44" s="73"/>
      <c r="C44" s="3"/>
      <c r="D44" s="3"/>
      <c r="E44" s="73" t="s">
        <v>3</v>
      </c>
      <c r="F44" s="73"/>
      <c r="G44" s="73"/>
      <c r="H44" s="100" t="s">
        <v>4</v>
      </c>
      <c r="I44" s="100"/>
      <c r="J44" s="100"/>
      <c r="K44" s="100"/>
      <c r="L44" s="100"/>
      <c r="M44" s="100"/>
      <c r="N44" s="100"/>
    </row>
    <row r="45" spans="1:28"/>
    <row r="46" spans="1:28"/>
    <row r="47" spans="1:28" ht="18">
      <c r="A47" s="3"/>
      <c r="B47" s="3"/>
      <c r="C47" s="3"/>
      <c r="D47" s="3"/>
      <c r="E47" s="3"/>
      <c r="F47" s="3"/>
      <c r="G47" s="3"/>
      <c r="H47" s="4"/>
      <c r="I47" s="4"/>
      <c r="J47" s="4"/>
      <c r="K47" s="4"/>
      <c r="L47" s="4"/>
      <c r="M47" s="4"/>
      <c r="N47" s="4"/>
    </row>
    <row r="48" spans="1:28" ht="18">
      <c r="A48" s="3"/>
      <c r="B48" s="3"/>
      <c r="C48" s="3"/>
      <c r="D48" s="3"/>
      <c r="E48" s="3"/>
      <c r="F48" s="3"/>
      <c r="G48" s="3"/>
      <c r="H48" s="4"/>
      <c r="I48" s="4"/>
      <c r="J48" s="4"/>
      <c r="K48" s="4"/>
      <c r="L48" s="4"/>
      <c r="M48" s="4"/>
      <c r="N48" s="4"/>
    </row>
    <row r="49" spans="1:37" ht="18.75">
      <c r="A49" s="102" t="s">
        <v>0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31"/>
      <c r="S49" s="29"/>
      <c r="T49" s="29"/>
      <c r="U49" s="29"/>
      <c r="W49" s="32"/>
      <c r="X49" s="15"/>
      <c r="Y49" s="15"/>
      <c r="Z49" s="32"/>
      <c r="AA49" s="32"/>
      <c r="AB49" s="32"/>
    </row>
    <row r="50" spans="1:37" ht="18.75">
      <c r="A50" s="102" t="s">
        <v>1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Q50" s="31"/>
      <c r="S50" s="29"/>
      <c r="T50" s="29"/>
      <c r="U50" s="29"/>
      <c r="W50" s="32"/>
      <c r="X50" s="15"/>
      <c r="Y50" s="15"/>
      <c r="Z50" s="32"/>
      <c r="AA50" s="32"/>
      <c r="AB50" s="32"/>
    </row>
    <row r="51" spans="1:37" ht="15.75" thickBot="1">
      <c r="A51" s="95" t="s">
        <v>6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S51" s="29"/>
      <c r="T51" s="29"/>
      <c r="U51" s="29"/>
      <c r="Z51" s="103"/>
      <c r="AA51" s="103"/>
    </row>
    <row r="52" spans="1:37" ht="15.75" hidden="1" thickBot="1">
      <c r="A52" s="95" t="s">
        <v>6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Q52" s="29"/>
      <c r="R52" s="29"/>
      <c r="S52" s="29"/>
      <c r="T52" s="29"/>
      <c r="U52" s="29"/>
      <c r="Z52" s="103"/>
      <c r="AA52" s="103"/>
    </row>
    <row r="53" spans="1:37" ht="36" customHeight="1" thickBot="1">
      <c r="A53" s="7" t="s">
        <v>7</v>
      </c>
      <c r="B53" s="8">
        <f>B8</f>
        <v>0</v>
      </c>
      <c r="C53" s="9"/>
      <c r="D53" s="9"/>
      <c r="E53" s="56" t="s">
        <v>8</v>
      </c>
      <c r="F53" s="58"/>
      <c r="G53" s="9"/>
      <c r="H53" s="56">
        <f>H8</f>
        <v>0</v>
      </c>
      <c r="I53" s="57"/>
      <c r="J53" s="57"/>
      <c r="K53" s="57"/>
      <c r="L53" s="57"/>
      <c r="M53" s="57"/>
      <c r="N53" s="57"/>
      <c r="O53" s="58"/>
      <c r="S53" s="29"/>
      <c r="T53" s="29"/>
      <c r="U53" s="29"/>
      <c r="Z53" s="103"/>
      <c r="AA53" s="103"/>
    </row>
    <row r="54" spans="1:37" ht="15.75" thickBot="1">
      <c r="A54" s="9"/>
      <c r="E54" s="9"/>
      <c r="F54" s="9"/>
      <c r="G54" s="9"/>
      <c r="H54" s="9"/>
      <c r="I54" s="9"/>
      <c r="J54" s="9"/>
      <c r="K54" s="11"/>
      <c r="L54" s="11"/>
      <c r="M54" s="11"/>
      <c r="N54" s="9"/>
      <c r="Q54" s="15"/>
      <c r="S54" s="29"/>
      <c r="T54" s="29"/>
      <c r="U54" s="29"/>
      <c r="Z54" s="103"/>
      <c r="AA54" s="103"/>
    </row>
    <row r="55" spans="1:37" ht="36" customHeight="1" thickBot="1">
      <c r="A55" s="7" t="s">
        <v>9</v>
      </c>
      <c r="B55" s="7">
        <f>B10</f>
        <v>0</v>
      </c>
      <c r="C55" s="9"/>
      <c r="D55" s="9"/>
      <c r="E55" s="7" t="s">
        <v>10</v>
      </c>
      <c r="F55" s="7">
        <f>F10</f>
        <v>0</v>
      </c>
      <c r="G55" s="9"/>
      <c r="H55" s="7" t="s">
        <v>11</v>
      </c>
      <c r="I55" s="56">
        <f>I10</f>
        <v>0</v>
      </c>
      <c r="J55" s="57"/>
      <c r="K55" s="57"/>
      <c r="L55" s="57"/>
      <c r="M55" s="57"/>
      <c r="N55" s="57"/>
      <c r="O55" s="58"/>
      <c r="Q55" s="29"/>
      <c r="R55" s="29"/>
      <c r="S55" s="29"/>
      <c r="T55" s="29"/>
      <c r="U55" s="29"/>
      <c r="Z55" s="103"/>
      <c r="AA55" s="103"/>
    </row>
    <row r="56" spans="1:37" ht="30.75" customHeight="1" thickBot="1">
      <c r="A56" s="9"/>
      <c r="B56" s="9"/>
      <c r="C56" s="9"/>
      <c r="D56" s="9"/>
      <c r="E56" s="9"/>
      <c r="F56" s="9"/>
      <c r="G56" s="9"/>
      <c r="H56" s="9"/>
      <c r="I56" s="9"/>
      <c r="J56" s="9"/>
      <c r="K56" s="11"/>
      <c r="L56" s="11"/>
      <c r="M56" s="11"/>
      <c r="N56" s="9"/>
      <c r="S56" s="29"/>
      <c r="T56" s="29"/>
      <c r="U56" s="29"/>
      <c r="Z56" s="103"/>
      <c r="AA56" s="103"/>
    </row>
    <row r="57" spans="1:37" ht="24" customHeight="1" thickBot="1">
      <c r="A57" s="7" t="s">
        <v>12</v>
      </c>
      <c r="B57" s="12">
        <v>0.08</v>
      </c>
      <c r="C57" s="9"/>
      <c r="D57" s="9"/>
      <c r="E57" s="7" t="s">
        <v>13</v>
      </c>
      <c r="F57" s="12">
        <v>0</v>
      </c>
      <c r="G57" s="9"/>
      <c r="H57" s="87" t="s">
        <v>14</v>
      </c>
      <c r="I57" s="88"/>
      <c r="J57" s="89"/>
      <c r="K57" s="90">
        <f>L40</f>
        <v>0</v>
      </c>
      <c r="L57" s="91"/>
      <c r="M57" s="91"/>
      <c r="N57" s="91"/>
      <c r="O57" s="92"/>
      <c r="Q57" s="75" t="s">
        <v>67</v>
      </c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I57" s="1">
        <f>AB73+AB116+AB159+AB203+AB249+AB289</f>
        <v>0</v>
      </c>
      <c r="AK57" s="15">
        <f>AB57-AI57</f>
        <v>0</v>
      </c>
    </row>
    <row r="58" spans="1:37" ht="15.75" thickBot="1">
      <c r="A58" s="9"/>
      <c r="B58" s="9"/>
      <c r="C58" s="9"/>
      <c r="D58" s="9"/>
      <c r="E58" s="9"/>
      <c r="F58" s="9"/>
      <c r="G58" s="9"/>
      <c r="H58" s="9"/>
      <c r="I58" s="9"/>
      <c r="J58" s="9"/>
      <c r="K58" s="11"/>
      <c r="L58" s="11"/>
      <c r="M58" s="11"/>
      <c r="N58" s="9"/>
    </row>
    <row r="59" spans="1:37" ht="39.950000000000003" customHeight="1" thickBot="1">
      <c r="A59" s="81" t="s">
        <v>16</v>
      </c>
      <c r="B59" s="93" t="s">
        <v>17</v>
      </c>
      <c r="C59" s="94"/>
      <c r="D59" s="93" t="s">
        <v>18</v>
      </c>
      <c r="E59" s="94"/>
      <c r="F59" s="81" t="s">
        <v>19</v>
      </c>
      <c r="G59" s="81" t="s">
        <v>20</v>
      </c>
      <c r="H59" s="81" t="s">
        <v>21</v>
      </c>
      <c r="I59" s="81" t="s">
        <v>22</v>
      </c>
      <c r="J59" s="81" t="s">
        <v>23</v>
      </c>
      <c r="K59" s="83" t="s">
        <v>24</v>
      </c>
      <c r="L59" s="83" t="s">
        <v>25</v>
      </c>
      <c r="M59" s="83" t="s">
        <v>26</v>
      </c>
      <c r="N59" s="83" t="s">
        <v>27</v>
      </c>
      <c r="O59" s="85" t="s">
        <v>28</v>
      </c>
      <c r="Q59" s="75" t="s">
        <v>29</v>
      </c>
      <c r="R59" s="75" t="s">
        <v>30</v>
      </c>
      <c r="S59" s="75" t="s">
        <v>31</v>
      </c>
      <c r="T59" s="75" t="s">
        <v>32</v>
      </c>
      <c r="U59" s="75" t="s">
        <v>264</v>
      </c>
      <c r="V59" s="80" t="s">
        <v>33</v>
      </c>
      <c r="W59" s="80" t="s">
        <v>34</v>
      </c>
      <c r="X59" s="80" t="s">
        <v>35</v>
      </c>
      <c r="Y59" s="80" t="s">
        <v>36</v>
      </c>
      <c r="Z59" s="80" t="s">
        <v>37</v>
      </c>
      <c r="AA59" s="80" t="s">
        <v>38</v>
      </c>
      <c r="AB59" s="80" t="s">
        <v>39</v>
      </c>
      <c r="AC59" s="75" t="s">
        <v>40</v>
      </c>
      <c r="AD59" s="75" t="s">
        <v>41</v>
      </c>
      <c r="AE59" s="75" t="s">
        <v>42</v>
      </c>
    </row>
    <row r="60" spans="1:37" ht="39.950000000000003" customHeight="1" thickBot="1">
      <c r="A60" s="82"/>
      <c r="B60" s="7" t="s">
        <v>43</v>
      </c>
      <c r="C60" s="7" t="s">
        <v>44</v>
      </c>
      <c r="D60" s="7" t="s">
        <v>43</v>
      </c>
      <c r="E60" s="7" t="s">
        <v>44</v>
      </c>
      <c r="F60" s="82"/>
      <c r="G60" s="82"/>
      <c r="H60" s="82"/>
      <c r="I60" s="82"/>
      <c r="J60" s="82"/>
      <c r="K60" s="84"/>
      <c r="L60" s="84"/>
      <c r="M60" s="84"/>
      <c r="N60" s="84"/>
      <c r="O60" s="86"/>
      <c r="Q60" s="75"/>
      <c r="R60" s="75"/>
      <c r="S60" s="75"/>
      <c r="T60" s="75"/>
      <c r="U60" s="75"/>
      <c r="V60" s="80"/>
      <c r="W60" s="80"/>
      <c r="X60" s="80"/>
      <c r="Y60" s="80"/>
      <c r="Z60" s="80"/>
      <c r="AA60" s="80"/>
      <c r="AB60" s="80"/>
      <c r="AC60" s="75"/>
      <c r="AD60" s="75"/>
      <c r="AE60" s="75"/>
    </row>
    <row r="61" spans="1:37" ht="18" customHeight="1">
      <c r="A61" s="16" t="s">
        <v>68</v>
      </c>
      <c r="B61" s="17">
        <v>0</v>
      </c>
      <c r="C61" s="17">
        <f t="shared" ref="C61:C72" si="13">Z61</f>
        <v>0</v>
      </c>
      <c r="D61" s="17">
        <f>B61</f>
        <v>0</v>
      </c>
      <c r="E61" s="17">
        <f>C61</f>
        <v>0</v>
      </c>
      <c r="F61" s="17"/>
      <c r="G61" s="17">
        <f>(B61+C61+F61)+(D61+E61)</f>
        <v>0</v>
      </c>
      <c r="H61" s="17"/>
      <c r="I61" s="17">
        <f>(K57+B61+C61+F61)-H61</f>
        <v>0</v>
      </c>
      <c r="J61" s="17">
        <f>(D61+E61)</f>
        <v>0</v>
      </c>
      <c r="K61" s="17">
        <f>(K57+G61)-H61</f>
        <v>0</v>
      </c>
      <c r="L61" s="17">
        <f>ROUND((I61*8/100)/12,0)</f>
        <v>0</v>
      </c>
      <c r="M61" s="17">
        <f>ROUND((J61*8/100)/12,0)</f>
        <v>0</v>
      </c>
      <c r="N61" s="17">
        <f>L61+M61</f>
        <v>0</v>
      </c>
      <c r="O61" s="101" t="s">
        <v>46</v>
      </c>
      <c r="Q61" s="18"/>
      <c r="R61" s="18"/>
      <c r="S61" s="18"/>
      <c r="T61" s="18"/>
      <c r="U61" s="18"/>
      <c r="V61" s="19"/>
      <c r="W61" s="19"/>
      <c r="X61" s="19"/>
      <c r="Y61" s="19">
        <f>V61+W61+X61</f>
        <v>0</v>
      </c>
      <c r="Z61" s="19">
        <f>ROUND(Y61*10%,0)</f>
        <v>0</v>
      </c>
      <c r="AA61" s="19"/>
      <c r="AB61" s="19">
        <f>AA61-Z61</f>
        <v>0</v>
      </c>
      <c r="AC61" s="20">
        <v>38808</v>
      </c>
      <c r="AD61" s="20">
        <v>38837</v>
      </c>
      <c r="AE61" s="18"/>
    </row>
    <row r="62" spans="1:37" ht="18" customHeight="1">
      <c r="A62" s="21" t="s">
        <v>69</v>
      </c>
      <c r="B62" s="22">
        <v>0</v>
      </c>
      <c r="C62" s="22">
        <f t="shared" si="13"/>
        <v>0</v>
      </c>
      <c r="D62" s="22">
        <f t="shared" ref="D62:E72" si="14">B62</f>
        <v>0</v>
      </c>
      <c r="E62" s="22">
        <f t="shared" si="14"/>
        <v>0</v>
      </c>
      <c r="F62" s="22"/>
      <c r="G62" s="22">
        <f t="shared" ref="G62:G72" si="15">(B62+C62+F62)+(D62+E62)</f>
        <v>0</v>
      </c>
      <c r="H62" s="22"/>
      <c r="I62" s="22">
        <f>(I61+B62+C62+F62)-H62</f>
        <v>0</v>
      </c>
      <c r="J62" s="22">
        <f>(J61+D62+E62)</f>
        <v>0</v>
      </c>
      <c r="K62" s="22">
        <f t="shared" ref="K62:K72" si="16">(K61+G62)-H62</f>
        <v>0</v>
      </c>
      <c r="L62" s="22">
        <f t="shared" ref="L62:M72" si="17">ROUND((I62*8/100)/12,0)</f>
        <v>0</v>
      </c>
      <c r="M62" s="22">
        <f t="shared" si="17"/>
        <v>0</v>
      </c>
      <c r="N62" s="22">
        <f t="shared" ref="N62:N72" si="18">L62+M62</f>
        <v>0</v>
      </c>
      <c r="O62" s="76"/>
      <c r="Q62" s="18"/>
      <c r="R62" s="18"/>
      <c r="S62" s="18"/>
      <c r="T62" s="18"/>
      <c r="U62" s="18"/>
      <c r="V62" s="19"/>
      <c r="W62" s="19"/>
      <c r="X62" s="19"/>
      <c r="Y62" s="19">
        <f>V62+W62+X62</f>
        <v>0</v>
      </c>
      <c r="Z62" s="19">
        <f>ROUND(Y62*10%,0)</f>
        <v>0</v>
      </c>
      <c r="AA62" s="19"/>
      <c r="AB62" s="19">
        <f>AA62-Z62</f>
        <v>0</v>
      </c>
      <c r="AC62" s="20">
        <v>38838</v>
      </c>
      <c r="AD62" s="20">
        <v>38868</v>
      </c>
      <c r="AE62" s="18"/>
    </row>
    <row r="63" spans="1:37" ht="18" customHeight="1">
      <c r="A63" s="21" t="s">
        <v>70</v>
      </c>
      <c r="B63" s="22">
        <v>0</v>
      </c>
      <c r="C63" s="22">
        <f t="shared" si="13"/>
        <v>0</v>
      </c>
      <c r="D63" s="22">
        <f t="shared" si="14"/>
        <v>0</v>
      </c>
      <c r="E63" s="22">
        <f t="shared" si="14"/>
        <v>0</v>
      </c>
      <c r="F63" s="22"/>
      <c r="G63" s="22">
        <f t="shared" si="15"/>
        <v>0</v>
      </c>
      <c r="H63" s="22"/>
      <c r="I63" s="22">
        <f t="shared" ref="I63:I72" si="19">(I62+B63+C63+F63)-H63</f>
        <v>0</v>
      </c>
      <c r="J63" s="22">
        <f t="shared" ref="J63:J72" si="20">(J62+D63+E63)</f>
        <v>0</v>
      </c>
      <c r="K63" s="22">
        <f t="shared" si="16"/>
        <v>0</v>
      </c>
      <c r="L63" s="22">
        <f t="shared" si="17"/>
        <v>0</v>
      </c>
      <c r="M63" s="22">
        <f t="shared" si="17"/>
        <v>0</v>
      </c>
      <c r="N63" s="22">
        <f t="shared" si="18"/>
        <v>0</v>
      </c>
      <c r="O63" s="76"/>
      <c r="Q63" s="18"/>
      <c r="R63" s="18"/>
      <c r="S63" s="18"/>
      <c r="T63" s="18"/>
      <c r="U63" s="18"/>
      <c r="V63" s="19"/>
      <c r="W63" s="19"/>
      <c r="X63" s="19"/>
      <c r="Y63" s="19">
        <f>V63+W63+X63</f>
        <v>0</v>
      </c>
      <c r="Z63" s="19">
        <f>ROUND(Y63*10%,0)</f>
        <v>0</v>
      </c>
      <c r="AA63" s="19"/>
      <c r="AB63" s="19">
        <f>AA63-Z63</f>
        <v>0</v>
      </c>
      <c r="AC63" s="20">
        <v>38808</v>
      </c>
      <c r="AD63" s="20">
        <v>38898</v>
      </c>
      <c r="AE63" s="18"/>
    </row>
    <row r="64" spans="1:37" ht="18" customHeight="1">
      <c r="A64" s="21" t="s">
        <v>71</v>
      </c>
      <c r="B64" s="22">
        <v>0</v>
      </c>
      <c r="C64" s="22">
        <f t="shared" si="13"/>
        <v>0</v>
      </c>
      <c r="D64" s="22">
        <f t="shared" si="14"/>
        <v>0</v>
      </c>
      <c r="E64" s="22">
        <f t="shared" si="14"/>
        <v>0</v>
      </c>
      <c r="F64" s="22"/>
      <c r="G64" s="22">
        <f t="shared" si="15"/>
        <v>0</v>
      </c>
      <c r="H64" s="22"/>
      <c r="I64" s="22">
        <f t="shared" si="19"/>
        <v>0</v>
      </c>
      <c r="J64" s="22">
        <f t="shared" si="20"/>
        <v>0</v>
      </c>
      <c r="K64" s="22">
        <f t="shared" si="16"/>
        <v>0</v>
      </c>
      <c r="L64" s="22">
        <f t="shared" si="17"/>
        <v>0</v>
      </c>
      <c r="M64" s="22">
        <f t="shared" si="17"/>
        <v>0</v>
      </c>
      <c r="N64" s="22">
        <f t="shared" si="18"/>
        <v>0</v>
      </c>
      <c r="O64" s="76"/>
      <c r="Q64" s="18"/>
      <c r="R64" s="18"/>
      <c r="S64" s="18"/>
      <c r="T64" s="18"/>
      <c r="U64" s="18"/>
      <c r="V64" s="19"/>
      <c r="W64" s="19"/>
      <c r="X64" s="19"/>
      <c r="Y64" s="19">
        <f>V64+W64+X64</f>
        <v>0</v>
      </c>
      <c r="Z64" s="19">
        <f>ROUND(Y64*10%,0)</f>
        <v>0</v>
      </c>
      <c r="AA64" s="19"/>
      <c r="AB64" s="19">
        <f t="shared" ref="AB64:AB72" si="21">AA64-Z64</f>
        <v>0</v>
      </c>
      <c r="AC64" s="20">
        <v>38899</v>
      </c>
      <c r="AD64" s="20">
        <v>38929</v>
      </c>
      <c r="AE64" s="18"/>
    </row>
    <row r="65" spans="1:31" ht="18" customHeight="1">
      <c r="A65" s="21" t="s">
        <v>72</v>
      </c>
      <c r="B65" s="22">
        <v>0</v>
      </c>
      <c r="C65" s="22">
        <f t="shared" si="13"/>
        <v>0</v>
      </c>
      <c r="D65" s="22">
        <f t="shared" si="14"/>
        <v>0</v>
      </c>
      <c r="E65" s="22">
        <f t="shared" si="14"/>
        <v>0</v>
      </c>
      <c r="F65" s="22"/>
      <c r="G65" s="22">
        <f t="shared" si="15"/>
        <v>0</v>
      </c>
      <c r="H65" s="22"/>
      <c r="I65" s="22">
        <f t="shared" si="19"/>
        <v>0</v>
      </c>
      <c r="J65" s="22">
        <f t="shared" si="20"/>
        <v>0</v>
      </c>
      <c r="K65" s="22">
        <f t="shared" si="16"/>
        <v>0</v>
      </c>
      <c r="L65" s="22">
        <f t="shared" si="17"/>
        <v>0</v>
      </c>
      <c r="M65" s="22">
        <f t="shared" si="17"/>
        <v>0</v>
      </c>
      <c r="N65" s="22">
        <f t="shared" si="18"/>
        <v>0</v>
      </c>
      <c r="O65" s="76"/>
      <c r="Q65" s="18"/>
      <c r="R65" s="18"/>
      <c r="S65" s="18"/>
      <c r="T65" s="18"/>
      <c r="U65" s="18"/>
      <c r="V65" s="19"/>
      <c r="W65" s="19"/>
      <c r="X65" s="19"/>
      <c r="Y65" s="19">
        <f t="shared" ref="Y65:Y72" si="22">V65+W65+X65</f>
        <v>0</v>
      </c>
      <c r="Z65" s="19">
        <f t="shared" ref="Z65:Z72" si="23">ROUND(Y65*10%,0)</f>
        <v>0</v>
      </c>
      <c r="AA65" s="19"/>
      <c r="AB65" s="19">
        <f t="shared" si="21"/>
        <v>0</v>
      </c>
      <c r="AC65" s="20">
        <v>38930</v>
      </c>
      <c r="AD65" s="20">
        <v>38960</v>
      </c>
      <c r="AE65" s="18"/>
    </row>
    <row r="66" spans="1:31" ht="18" customHeight="1">
      <c r="A66" s="21" t="s">
        <v>73</v>
      </c>
      <c r="B66" s="22">
        <v>0</v>
      </c>
      <c r="C66" s="22">
        <f t="shared" si="13"/>
        <v>0</v>
      </c>
      <c r="D66" s="22">
        <f t="shared" si="14"/>
        <v>0</v>
      </c>
      <c r="E66" s="22">
        <f t="shared" si="14"/>
        <v>0</v>
      </c>
      <c r="F66" s="22"/>
      <c r="G66" s="22">
        <f t="shared" si="15"/>
        <v>0</v>
      </c>
      <c r="H66" s="22"/>
      <c r="I66" s="22">
        <f t="shared" si="19"/>
        <v>0</v>
      </c>
      <c r="J66" s="22">
        <f t="shared" si="20"/>
        <v>0</v>
      </c>
      <c r="K66" s="22">
        <f t="shared" si="16"/>
        <v>0</v>
      </c>
      <c r="L66" s="22">
        <f t="shared" si="17"/>
        <v>0</v>
      </c>
      <c r="M66" s="22">
        <f t="shared" si="17"/>
        <v>0</v>
      </c>
      <c r="N66" s="22">
        <f t="shared" si="18"/>
        <v>0</v>
      </c>
      <c r="O66" s="76"/>
      <c r="Q66" s="18"/>
      <c r="R66" s="18"/>
      <c r="S66" s="18"/>
      <c r="T66" s="18"/>
      <c r="U66" s="18"/>
      <c r="V66" s="19"/>
      <c r="W66" s="19"/>
      <c r="X66" s="19"/>
      <c r="Y66" s="19">
        <f t="shared" si="22"/>
        <v>0</v>
      </c>
      <c r="Z66" s="19">
        <f t="shared" si="23"/>
        <v>0</v>
      </c>
      <c r="AA66" s="19"/>
      <c r="AB66" s="19">
        <f t="shared" si="21"/>
        <v>0</v>
      </c>
      <c r="AC66" s="20">
        <v>38961</v>
      </c>
      <c r="AD66" s="20">
        <v>38990</v>
      </c>
      <c r="AE66" s="18"/>
    </row>
    <row r="67" spans="1:31" ht="18" customHeight="1">
      <c r="A67" s="21" t="s">
        <v>74</v>
      </c>
      <c r="B67" s="22">
        <v>0</v>
      </c>
      <c r="C67" s="22">
        <f t="shared" si="13"/>
        <v>0</v>
      </c>
      <c r="D67" s="22">
        <f t="shared" si="14"/>
        <v>0</v>
      </c>
      <c r="E67" s="22">
        <f t="shared" si="14"/>
        <v>0</v>
      </c>
      <c r="F67" s="22"/>
      <c r="G67" s="22">
        <f t="shared" si="15"/>
        <v>0</v>
      </c>
      <c r="H67" s="22"/>
      <c r="I67" s="22">
        <f t="shared" si="19"/>
        <v>0</v>
      </c>
      <c r="J67" s="22">
        <f t="shared" si="20"/>
        <v>0</v>
      </c>
      <c r="K67" s="22">
        <f t="shared" si="16"/>
        <v>0</v>
      </c>
      <c r="L67" s="22">
        <f t="shared" si="17"/>
        <v>0</v>
      </c>
      <c r="M67" s="22">
        <f t="shared" si="17"/>
        <v>0</v>
      </c>
      <c r="N67" s="22">
        <f t="shared" si="18"/>
        <v>0</v>
      </c>
      <c r="O67" s="76"/>
      <c r="Q67" s="18"/>
      <c r="R67" s="18"/>
      <c r="S67" s="18"/>
      <c r="T67" s="18"/>
      <c r="U67" s="18"/>
      <c r="V67" s="19"/>
      <c r="W67" s="19"/>
      <c r="X67" s="19"/>
      <c r="Y67" s="19">
        <f t="shared" si="22"/>
        <v>0</v>
      </c>
      <c r="Z67" s="19">
        <f t="shared" si="23"/>
        <v>0</v>
      </c>
      <c r="AA67" s="19"/>
      <c r="AB67" s="19">
        <f t="shared" si="21"/>
        <v>0</v>
      </c>
      <c r="AC67" s="20">
        <v>38991</v>
      </c>
      <c r="AD67" s="20">
        <v>39021</v>
      </c>
      <c r="AE67" s="18"/>
    </row>
    <row r="68" spans="1:31" ht="18" customHeight="1">
      <c r="A68" s="21" t="s">
        <v>75</v>
      </c>
      <c r="B68" s="22">
        <v>0</v>
      </c>
      <c r="C68" s="22">
        <f t="shared" si="13"/>
        <v>0</v>
      </c>
      <c r="D68" s="22">
        <f t="shared" si="14"/>
        <v>0</v>
      </c>
      <c r="E68" s="22">
        <f t="shared" si="14"/>
        <v>0</v>
      </c>
      <c r="F68" s="22"/>
      <c r="G68" s="22">
        <f t="shared" si="15"/>
        <v>0</v>
      </c>
      <c r="H68" s="22"/>
      <c r="I68" s="22">
        <f t="shared" si="19"/>
        <v>0</v>
      </c>
      <c r="J68" s="22">
        <f t="shared" si="20"/>
        <v>0</v>
      </c>
      <c r="K68" s="22">
        <f t="shared" si="16"/>
        <v>0</v>
      </c>
      <c r="L68" s="22">
        <f t="shared" si="17"/>
        <v>0</v>
      </c>
      <c r="M68" s="22">
        <f t="shared" si="17"/>
        <v>0</v>
      </c>
      <c r="N68" s="22">
        <f t="shared" si="18"/>
        <v>0</v>
      </c>
      <c r="O68" s="76"/>
      <c r="Q68" s="18"/>
      <c r="R68" s="18"/>
      <c r="S68" s="18"/>
      <c r="T68" s="18"/>
      <c r="U68" s="18"/>
      <c r="V68" s="19"/>
      <c r="W68" s="19"/>
      <c r="X68" s="19"/>
      <c r="Y68" s="19">
        <f t="shared" si="22"/>
        <v>0</v>
      </c>
      <c r="Z68" s="19">
        <f t="shared" si="23"/>
        <v>0</v>
      </c>
      <c r="AA68" s="19"/>
      <c r="AB68" s="19">
        <f t="shared" si="21"/>
        <v>0</v>
      </c>
      <c r="AC68" s="20">
        <v>39022</v>
      </c>
      <c r="AD68" s="20">
        <v>39051</v>
      </c>
      <c r="AE68" s="18"/>
    </row>
    <row r="69" spans="1:31" ht="18" customHeight="1">
      <c r="A69" s="21" t="s">
        <v>76</v>
      </c>
      <c r="B69" s="22">
        <v>0</v>
      </c>
      <c r="C69" s="22">
        <f t="shared" si="13"/>
        <v>0</v>
      </c>
      <c r="D69" s="22">
        <f t="shared" si="14"/>
        <v>0</v>
      </c>
      <c r="E69" s="22">
        <f t="shared" si="14"/>
        <v>0</v>
      </c>
      <c r="F69" s="22"/>
      <c r="G69" s="22">
        <f t="shared" si="15"/>
        <v>0</v>
      </c>
      <c r="H69" s="22"/>
      <c r="I69" s="22">
        <f t="shared" si="19"/>
        <v>0</v>
      </c>
      <c r="J69" s="22">
        <f t="shared" si="20"/>
        <v>0</v>
      </c>
      <c r="K69" s="22">
        <f t="shared" si="16"/>
        <v>0</v>
      </c>
      <c r="L69" s="22">
        <f t="shared" si="17"/>
        <v>0</v>
      </c>
      <c r="M69" s="22">
        <f t="shared" si="17"/>
        <v>0</v>
      </c>
      <c r="N69" s="22">
        <f t="shared" si="18"/>
        <v>0</v>
      </c>
      <c r="O69" s="76"/>
      <c r="Q69" s="18"/>
      <c r="R69" s="18"/>
      <c r="S69" s="18"/>
      <c r="T69" s="18"/>
      <c r="U69" s="18"/>
      <c r="V69" s="19"/>
      <c r="W69" s="19"/>
      <c r="X69" s="19"/>
      <c r="Y69" s="19">
        <f t="shared" si="22"/>
        <v>0</v>
      </c>
      <c r="Z69" s="19">
        <f t="shared" si="23"/>
        <v>0</v>
      </c>
      <c r="AA69" s="19"/>
      <c r="AB69" s="19">
        <f t="shared" si="21"/>
        <v>0</v>
      </c>
      <c r="AC69" s="20">
        <v>39052</v>
      </c>
      <c r="AD69" s="20">
        <v>39082</v>
      </c>
      <c r="AE69" s="18"/>
    </row>
    <row r="70" spans="1:31" ht="18" customHeight="1">
      <c r="A70" s="21" t="s">
        <v>77</v>
      </c>
      <c r="B70" s="22">
        <v>0</v>
      </c>
      <c r="C70" s="22">
        <f t="shared" si="13"/>
        <v>0</v>
      </c>
      <c r="D70" s="22">
        <f t="shared" si="14"/>
        <v>0</v>
      </c>
      <c r="E70" s="22">
        <f t="shared" si="14"/>
        <v>0</v>
      </c>
      <c r="F70" s="22"/>
      <c r="G70" s="22">
        <f t="shared" si="15"/>
        <v>0</v>
      </c>
      <c r="H70" s="22"/>
      <c r="I70" s="22">
        <f t="shared" si="19"/>
        <v>0</v>
      </c>
      <c r="J70" s="22">
        <f t="shared" si="20"/>
        <v>0</v>
      </c>
      <c r="K70" s="22">
        <f t="shared" si="16"/>
        <v>0</v>
      </c>
      <c r="L70" s="22">
        <f t="shared" si="17"/>
        <v>0</v>
      </c>
      <c r="M70" s="22">
        <f t="shared" si="17"/>
        <v>0</v>
      </c>
      <c r="N70" s="22">
        <f t="shared" si="18"/>
        <v>0</v>
      </c>
      <c r="O70" s="76"/>
      <c r="Q70" s="18"/>
      <c r="R70" s="18"/>
      <c r="S70" s="18"/>
      <c r="T70" s="18"/>
      <c r="U70" s="18"/>
      <c r="V70" s="19"/>
      <c r="W70" s="19"/>
      <c r="X70" s="19"/>
      <c r="Y70" s="19">
        <f t="shared" si="22"/>
        <v>0</v>
      </c>
      <c r="Z70" s="19">
        <f t="shared" si="23"/>
        <v>0</v>
      </c>
      <c r="AA70" s="19"/>
      <c r="AB70" s="19">
        <f t="shared" si="21"/>
        <v>0</v>
      </c>
      <c r="AC70" s="20">
        <v>39083</v>
      </c>
      <c r="AD70" s="20">
        <v>39113</v>
      </c>
      <c r="AE70" s="18"/>
    </row>
    <row r="71" spans="1:31" ht="18" customHeight="1">
      <c r="A71" s="21" t="s">
        <v>78</v>
      </c>
      <c r="B71" s="22">
        <v>0</v>
      </c>
      <c r="C71" s="22">
        <f t="shared" si="13"/>
        <v>0</v>
      </c>
      <c r="D71" s="22">
        <f t="shared" si="14"/>
        <v>0</v>
      </c>
      <c r="E71" s="22">
        <f t="shared" si="14"/>
        <v>0</v>
      </c>
      <c r="F71" s="22"/>
      <c r="G71" s="22">
        <f t="shared" si="15"/>
        <v>0</v>
      </c>
      <c r="H71" s="22"/>
      <c r="I71" s="22">
        <f t="shared" si="19"/>
        <v>0</v>
      </c>
      <c r="J71" s="22">
        <f t="shared" si="20"/>
        <v>0</v>
      </c>
      <c r="K71" s="22">
        <f t="shared" si="16"/>
        <v>0</v>
      </c>
      <c r="L71" s="22">
        <f t="shared" si="17"/>
        <v>0</v>
      </c>
      <c r="M71" s="22">
        <f t="shared" si="17"/>
        <v>0</v>
      </c>
      <c r="N71" s="22">
        <f t="shared" si="18"/>
        <v>0</v>
      </c>
      <c r="O71" s="76"/>
      <c r="Q71" s="18"/>
      <c r="R71" s="18"/>
      <c r="S71" s="18"/>
      <c r="T71" s="18"/>
      <c r="U71" s="18"/>
      <c r="V71" s="19"/>
      <c r="W71" s="19"/>
      <c r="X71" s="19"/>
      <c r="Y71" s="19">
        <f t="shared" si="22"/>
        <v>0</v>
      </c>
      <c r="Z71" s="19">
        <f t="shared" si="23"/>
        <v>0</v>
      </c>
      <c r="AA71" s="19"/>
      <c r="AB71" s="19">
        <f t="shared" si="21"/>
        <v>0</v>
      </c>
      <c r="AC71" s="20">
        <v>39114</v>
      </c>
      <c r="AD71" s="20">
        <v>39141</v>
      </c>
      <c r="AE71" s="18"/>
    </row>
    <row r="72" spans="1:31" ht="18" customHeight="1" thickBot="1">
      <c r="A72" s="23" t="s">
        <v>79</v>
      </c>
      <c r="B72" s="24">
        <v>0</v>
      </c>
      <c r="C72" s="24">
        <f t="shared" si="13"/>
        <v>0</v>
      </c>
      <c r="D72" s="24">
        <f t="shared" si="14"/>
        <v>0</v>
      </c>
      <c r="E72" s="24">
        <f t="shared" si="14"/>
        <v>0</v>
      </c>
      <c r="F72" s="24"/>
      <c r="G72" s="24">
        <f t="shared" si="15"/>
        <v>0</v>
      </c>
      <c r="H72" s="24"/>
      <c r="I72" s="24">
        <f t="shared" si="19"/>
        <v>0</v>
      </c>
      <c r="J72" s="24">
        <f t="shared" si="20"/>
        <v>0</v>
      </c>
      <c r="K72" s="24">
        <f t="shared" si="16"/>
        <v>0</v>
      </c>
      <c r="L72" s="24">
        <f t="shared" si="17"/>
        <v>0</v>
      </c>
      <c r="M72" s="24">
        <f t="shared" si="17"/>
        <v>0</v>
      </c>
      <c r="N72" s="24">
        <f t="shared" si="18"/>
        <v>0</v>
      </c>
      <c r="O72" s="98"/>
      <c r="Q72" s="18"/>
      <c r="R72" s="18"/>
      <c r="S72" s="18"/>
      <c r="T72" s="18"/>
      <c r="U72" s="18"/>
      <c r="V72" s="19"/>
      <c r="W72" s="19"/>
      <c r="X72" s="19"/>
      <c r="Y72" s="19">
        <f t="shared" si="22"/>
        <v>0</v>
      </c>
      <c r="Z72" s="19">
        <f t="shared" si="23"/>
        <v>0</v>
      </c>
      <c r="AA72" s="19"/>
      <c r="AB72" s="19">
        <f t="shared" si="21"/>
        <v>0</v>
      </c>
      <c r="AC72" s="20">
        <v>39142</v>
      </c>
      <c r="AD72" s="20">
        <v>39172</v>
      </c>
      <c r="AE72" s="18"/>
    </row>
    <row r="73" spans="1:31" ht="18" customHeight="1" thickBot="1">
      <c r="A73" s="7" t="s">
        <v>80</v>
      </c>
      <c r="B73" s="25">
        <f t="shared" ref="B73:H73" si="24">SUM(B61:B72)</f>
        <v>0</v>
      </c>
      <c r="C73" s="25">
        <f t="shared" si="24"/>
        <v>0</v>
      </c>
      <c r="D73" s="25">
        <f t="shared" si="24"/>
        <v>0</v>
      </c>
      <c r="E73" s="25">
        <f t="shared" si="24"/>
        <v>0</v>
      </c>
      <c r="F73" s="25">
        <f t="shared" si="24"/>
        <v>0</v>
      </c>
      <c r="G73" s="25">
        <f t="shared" si="24"/>
        <v>0</v>
      </c>
      <c r="H73" s="25">
        <f t="shared" si="24"/>
        <v>0</v>
      </c>
      <c r="I73" s="25">
        <f t="shared" ref="I73:N73" si="25">SUM(I61:I72)</f>
        <v>0</v>
      </c>
      <c r="J73" s="25">
        <f t="shared" si="25"/>
        <v>0</v>
      </c>
      <c r="K73" s="25">
        <f t="shared" si="25"/>
        <v>0</v>
      </c>
      <c r="L73" s="25">
        <f t="shared" si="25"/>
        <v>0</v>
      </c>
      <c r="M73" s="25">
        <f t="shared" si="25"/>
        <v>0</v>
      </c>
      <c r="N73" s="13">
        <f t="shared" si="25"/>
        <v>0</v>
      </c>
      <c r="O73" s="26"/>
      <c r="Q73" s="77" t="s">
        <v>36</v>
      </c>
      <c r="R73" s="78"/>
      <c r="S73" s="78"/>
      <c r="T73" s="79"/>
      <c r="U73" s="27"/>
      <c r="V73" s="28">
        <f t="shared" ref="V73:AB73" si="26">SUM(V61:V72)</f>
        <v>0</v>
      </c>
      <c r="W73" s="28">
        <f t="shared" si="26"/>
        <v>0</v>
      </c>
      <c r="X73" s="28">
        <f t="shared" si="26"/>
        <v>0</v>
      </c>
      <c r="Y73" s="28">
        <f t="shared" si="26"/>
        <v>0</v>
      </c>
      <c r="Z73" s="28">
        <f t="shared" si="26"/>
        <v>0</v>
      </c>
      <c r="AA73" s="28">
        <f t="shared" si="26"/>
        <v>0</v>
      </c>
      <c r="AB73" s="28">
        <f t="shared" si="26"/>
        <v>0</v>
      </c>
      <c r="AC73" s="18"/>
      <c r="AD73" s="18"/>
      <c r="AE73" s="18"/>
    </row>
    <row r="74" spans="1:31" ht="15.75" thickBot="1">
      <c r="A74" s="9"/>
      <c r="B74" s="9"/>
      <c r="C74" s="9"/>
      <c r="D74" s="9"/>
      <c r="E74" s="9"/>
      <c r="F74" s="9"/>
      <c r="G74" s="9"/>
      <c r="H74" s="9"/>
      <c r="I74" s="9"/>
      <c r="J74" s="9"/>
      <c r="K74" s="11"/>
      <c r="L74" s="11"/>
      <c r="M74" s="11"/>
      <c r="N74" s="11"/>
    </row>
    <row r="75" spans="1:31" ht="18" customHeight="1" thickBot="1">
      <c r="A75" s="9"/>
      <c r="B75" s="11"/>
      <c r="C75" s="11"/>
      <c r="D75" s="11"/>
      <c r="E75" s="9"/>
      <c r="F75" s="8">
        <v>1</v>
      </c>
      <c r="G75" s="57" t="s">
        <v>59</v>
      </c>
      <c r="H75" s="57"/>
      <c r="I75" s="57"/>
      <c r="J75" s="57"/>
      <c r="K75" s="58"/>
      <c r="L75" s="25">
        <f>K57</f>
        <v>0</v>
      </c>
      <c r="M75" s="5"/>
      <c r="O75" s="1"/>
      <c r="S75" s="29"/>
      <c r="T75" s="29"/>
      <c r="U75" s="29"/>
      <c r="AA75" s="15"/>
      <c r="AB75" s="15"/>
    </row>
    <row r="76" spans="1:31" ht="18" customHeight="1" thickBot="1">
      <c r="A76" s="9"/>
      <c r="B76" s="9"/>
      <c r="C76" s="9"/>
      <c r="D76" s="9"/>
      <c r="E76" s="9"/>
      <c r="F76" s="8">
        <v>2</v>
      </c>
      <c r="G76" s="57" t="s">
        <v>60</v>
      </c>
      <c r="H76" s="57"/>
      <c r="I76" s="57"/>
      <c r="J76" s="57"/>
      <c r="K76" s="58"/>
      <c r="L76" s="25">
        <f>B73+C73</f>
        <v>0</v>
      </c>
      <c r="M76" s="5"/>
      <c r="O76" s="1"/>
      <c r="S76" s="29"/>
      <c r="T76" s="29"/>
      <c r="U76" s="29"/>
      <c r="AA76" s="15"/>
      <c r="AB76" s="15"/>
    </row>
    <row r="77" spans="1:31" ht="18" customHeight="1" thickBot="1">
      <c r="A77" s="9"/>
      <c r="B77" s="9"/>
      <c r="C77" s="9"/>
      <c r="D77" s="9"/>
      <c r="E77" s="9"/>
      <c r="F77" s="8">
        <v>3</v>
      </c>
      <c r="G77" s="57" t="s">
        <v>61</v>
      </c>
      <c r="H77" s="57"/>
      <c r="I77" s="57"/>
      <c r="J77" s="57"/>
      <c r="K77" s="58"/>
      <c r="L77" s="25">
        <f>F73</f>
        <v>0</v>
      </c>
      <c r="M77" s="5"/>
      <c r="O77" s="1"/>
      <c r="S77" s="29"/>
      <c r="T77" s="29"/>
      <c r="U77" s="29"/>
      <c r="AA77" s="15"/>
      <c r="AB77" s="15"/>
    </row>
    <row r="78" spans="1:31" ht="18" customHeight="1" thickBot="1">
      <c r="A78" s="9"/>
      <c r="B78" s="9"/>
      <c r="C78" s="9"/>
      <c r="D78" s="9"/>
      <c r="E78" s="9"/>
      <c r="F78" s="8">
        <v>4</v>
      </c>
      <c r="G78" s="57" t="s">
        <v>62</v>
      </c>
      <c r="H78" s="57"/>
      <c r="I78" s="57"/>
      <c r="J78" s="57"/>
      <c r="K78" s="58"/>
      <c r="L78" s="25">
        <f>L76+L77</f>
        <v>0</v>
      </c>
      <c r="M78" s="5"/>
      <c r="O78" s="1"/>
      <c r="S78" s="29"/>
      <c r="T78" s="29"/>
      <c r="U78" s="29"/>
      <c r="AA78" s="15"/>
      <c r="AB78" s="15"/>
    </row>
    <row r="79" spans="1:31" ht="18" customHeight="1" thickBot="1">
      <c r="A79" s="9"/>
      <c r="B79" s="9"/>
      <c r="C79" s="9"/>
      <c r="D79" s="9"/>
      <c r="E79" s="9"/>
      <c r="F79" s="8">
        <v>5</v>
      </c>
      <c r="G79" s="57" t="s">
        <v>18</v>
      </c>
      <c r="H79" s="57"/>
      <c r="I79" s="57"/>
      <c r="J79" s="57"/>
      <c r="K79" s="58"/>
      <c r="L79" s="25">
        <f>D73+E73</f>
        <v>0</v>
      </c>
      <c r="M79" s="5"/>
      <c r="O79" s="1"/>
      <c r="S79" s="29"/>
      <c r="T79" s="29"/>
      <c r="U79" s="29"/>
      <c r="AA79" s="15"/>
      <c r="AB79" s="15"/>
    </row>
    <row r="80" spans="1:31" ht="18" customHeight="1" thickBot="1">
      <c r="A80" s="9"/>
      <c r="B80" s="9"/>
      <c r="C80" s="9"/>
      <c r="D80" s="9"/>
      <c r="E80" s="9"/>
      <c r="F80" s="8">
        <v>6</v>
      </c>
      <c r="G80" s="57" t="s">
        <v>63</v>
      </c>
      <c r="H80" s="57"/>
      <c r="I80" s="57"/>
      <c r="J80" s="57"/>
      <c r="K80" s="58"/>
      <c r="L80" s="25">
        <f>L75+L78+L79</f>
        <v>0</v>
      </c>
      <c r="M80" s="5"/>
      <c r="O80" s="1"/>
      <c r="S80" s="29"/>
      <c r="T80" s="29"/>
      <c r="U80" s="29"/>
      <c r="AA80" s="15"/>
      <c r="AB80" s="15"/>
    </row>
    <row r="81" spans="1:28" ht="18" customHeight="1" thickBot="1">
      <c r="A81" s="9"/>
      <c r="B81" s="9"/>
      <c r="C81" s="9"/>
      <c r="D81" s="9"/>
      <c r="E81" s="9"/>
      <c r="F81" s="8">
        <v>7</v>
      </c>
      <c r="G81" s="57" t="s">
        <v>64</v>
      </c>
      <c r="H81" s="57"/>
      <c r="I81" s="57"/>
      <c r="J81" s="57"/>
      <c r="K81" s="58"/>
      <c r="L81" s="25">
        <f>H73</f>
        <v>0</v>
      </c>
      <c r="M81" s="5"/>
      <c r="O81" s="1"/>
      <c r="S81" s="29"/>
      <c r="T81" s="29"/>
      <c r="U81" s="29"/>
      <c r="AA81" s="15"/>
      <c r="AB81" s="15"/>
    </row>
    <row r="82" spans="1:28" ht="18" customHeight="1" thickBot="1">
      <c r="A82" s="9"/>
      <c r="B82" s="9"/>
      <c r="C82" s="9"/>
      <c r="D82" s="9"/>
      <c r="E82" s="9"/>
      <c r="F82" s="8">
        <v>8</v>
      </c>
      <c r="G82" s="57" t="s">
        <v>25</v>
      </c>
      <c r="H82" s="57"/>
      <c r="I82" s="57"/>
      <c r="J82" s="57"/>
      <c r="K82" s="58"/>
      <c r="L82" s="25">
        <f>L73</f>
        <v>0</v>
      </c>
      <c r="M82" s="5"/>
      <c r="O82" s="1"/>
      <c r="S82" s="29"/>
      <c r="T82" s="29"/>
      <c r="U82" s="29"/>
      <c r="AA82" s="15"/>
      <c r="AB82" s="15"/>
    </row>
    <row r="83" spans="1:28" ht="18" customHeight="1" thickBot="1">
      <c r="A83" s="9"/>
      <c r="B83" s="9"/>
      <c r="C83" s="9"/>
      <c r="D83" s="9"/>
      <c r="E83" s="9"/>
      <c r="F83" s="8">
        <v>9</v>
      </c>
      <c r="G83" s="57" t="s">
        <v>26</v>
      </c>
      <c r="H83" s="57"/>
      <c r="I83" s="57"/>
      <c r="J83" s="57"/>
      <c r="K83" s="58"/>
      <c r="L83" s="25">
        <f>M73</f>
        <v>0</v>
      </c>
      <c r="M83" s="5"/>
      <c r="O83" s="1"/>
      <c r="S83" s="29"/>
      <c r="T83" s="29"/>
      <c r="U83" s="29"/>
      <c r="AA83" s="15"/>
      <c r="AB83" s="15"/>
    </row>
    <row r="84" spans="1:28" ht="18" customHeight="1" thickBot="1">
      <c r="A84" s="9"/>
      <c r="B84" s="9"/>
      <c r="C84" s="9"/>
      <c r="D84" s="9"/>
      <c r="E84" s="9"/>
      <c r="F84" s="8">
        <v>10</v>
      </c>
      <c r="G84" s="57" t="s">
        <v>65</v>
      </c>
      <c r="H84" s="57"/>
      <c r="I84" s="57"/>
      <c r="J84" s="57"/>
      <c r="K84" s="58"/>
      <c r="L84" s="25">
        <f>N73</f>
        <v>0</v>
      </c>
      <c r="M84" s="5"/>
      <c r="O84" s="1"/>
      <c r="S84" s="29"/>
      <c r="T84" s="29"/>
      <c r="U84" s="29"/>
      <c r="AA84" s="15"/>
      <c r="AB84" s="15"/>
    </row>
    <row r="85" spans="1:28" ht="18" customHeight="1" thickBot="1">
      <c r="A85" s="9"/>
      <c r="B85" s="9"/>
      <c r="C85" s="9"/>
      <c r="D85" s="9"/>
      <c r="E85" s="9"/>
      <c r="F85" s="8">
        <v>11</v>
      </c>
      <c r="G85" s="57" t="s">
        <v>81</v>
      </c>
      <c r="H85" s="57"/>
      <c r="I85" s="57"/>
      <c r="J85" s="57"/>
      <c r="K85" s="58"/>
      <c r="L85" s="25">
        <f>L80-L81+L84</f>
        <v>0</v>
      </c>
      <c r="M85" s="5"/>
      <c r="O85" s="1"/>
      <c r="S85" s="29"/>
      <c r="T85" s="29"/>
      <c r="U85" s="29"/>
      <c r="AA85" s="15"/>
      <c r="AB85" s="15"/>
    </row>
    <row r="86" spans="1:28">
      <c r="A86" s="9"/>
      <c r="B86" s="9"/>
      <c r="C86" s="9"/>
      <c r="D86" s="9"/>
      <c r="E86" s="9"/>
      <c r="F86" s="9"/>
      <c r="G86" s="30"/>
      <c r="H86" s="30"/>
      <c r="I86" s="30"/>
      <c r="J86" s="30"/>
      <c r="K86" s="30"/>
      <c r="L86" s="30"/>
      <c r="M86" s="30"/>
      <c r="N86" s="11"/>
    </row>
    <row r="87" spans="1:28"/>
    <row r="88" spans="1:28"/>
    <row r="89" spans="1:28" ht="18">
      <c r="A89" s="73" t="s">
        <v>2</v>
      </c>
      <c r="B89" s="73"/>
      <c r="C89" s="3"/>
      <c r="D89" s="3"/>
      <c r="E89" s="73" t="s">
        <v>3</v>
      </c>
      <c r="F89" s="73"/>
      <c r="G89" s="73"/>
      <c r="H89" s="100" t="s">
        <v>4</v>
      </c>
      <c r="I89" s="100"/>
      <c r="J89" s="100"/>
      <c r="K89" s="100"/>
      <c r="L89" s="100"/>
      <c r="M89" s="100"/>
      <c r="N89" s="100"/>
    </row>
    <row r="90" spans="1:28"/>
    <row r="91" spans="1:28"/>
    <row r="92" spans="1:28" ht="18">
      <c r="A92" s="3"/>
      <c r="B92" s="3"/>
      <c r="C92" s="3"/>
      <c r="D92" s="3"/>
      <c r="E92" s="3"/>
      <c r="F92" s="3"/>
      <c r="G92" s="3"/>
      <c r="H92" s="4"/>
      <c r="I92" s="4"/>
      <c r="J92" s="4"/>
      <c r="K92" s="4"/>
      <c r="L92" s="4"/>
      <c r="M92" s="4"/>
      <c r="N92" s="4"/>
    </row>
    <row r="93" spans="1:28" ht="38.25" customHeight="1">
      <c r="A93" s="102" t="s">
        <v>0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S93" s="29"/>
      <c r="T93" s="29"/>
      <c r="U93" s="29"/>
      <c r="W93" s="32"/>
      <c r="X93" s="15"/>
      <c r="Y93" s="15"/>
      <c r="Z93" s="32"/>
      <c r="AA93" s="32"/>
      <c r="AB93" s="32"/>
    </row>
    <row r="94" spans="1:28" ht="18.75">
      <c r="A94" s="102" t="s">
        <v>1</v>
      </c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S94" s="29"/>
      <c r="T94" s="29"/>
      <c r="U94" s="29"/>
      <c r="W94" s="32"/>
      <c r="X94" s="15"/>
      <c r="Y94" s="15"/>
      <c r="Z94" s="32"/>
      <c r="AA94" s="32"/>
      <c r="AB94" s="32"/>
    </row>
    <row r="95" spans="1:28">
      <c r="S95" s="29"/>
      <c r="T95" s="29"/>
      <c r="U95" s="29"/>
      <c r="Z95" s="32"/>
      <c r="AA95" s="32"/>
    </row>
    <row r="96" spans="1:28" ht="15.75" thickBot="1">
      <c r="A96" s="95" t="s">
        <v>82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R96" s="29"/>
      <c r="S96" s="29"/>
      <c r="T96" s="29"/>
      <c r="U96" s="29"/>
      <c r="Z96" s="32"/>
      <c r="AA96" s="32"/>
    </row>
    <row r="97" spans="1:37" ht="36" customHeight="1" thickBot="1">
      <c r="A97" s="7" t="s">
        <v>7</v>
      </c>
      <c r="B97" s="8">
        <f>B53</f>
        <v>0</v>
      </c>
      <c r="C97" s="9"/>
      <c r="D97" s="9"/>
      <c r="E97" s="56" t="s">
        <v>8</v>
      </c>
      <c r="F97" s="58"/>
      <c r="G97" s="9"/>
      <c r="H97" s="56">
        <f>H53</f>
        <v>0</v>
      </c>
      <c r="I97" s="57"/>
      <c r="J97" s="57"/>
      <c r="K97" s="57"/>
      <c r="L97" s="57"/>
      <c r="M97" s="57"/>
      <c r="N97" s="57"/>
      <c r="O97" s="58"/>
      <c r="S97" s="29"/>
      <c r="T97" s="29"/>
      <c r="U97" s="29"/>
      <c r="Z97" s="32"/>
      <c r="AA97" s="32"/>
    </row>
    <row r="98" spans="1:37" ht="15.75" thickBot="1">
      <c r="A98" s="9"/>
      <c r="E98" s="9"/>
      <c r="F98" s="9"/>
      <c r="G98" s="9"/>
      <c r="H98" s="9"/>
      <c r="I98" s="9"/>
      <c r="J98" s="9"/>
      <c r="K98" s="11"/>
      <c r="L98" s="11"/>
      <c r="M98" s="11"/>
      <c r="N98" s="9"/>
      <c r="S98" s="29"/>
      <c r="T98" s="29"/>
      <c r="U98" s="29"/>
      <c r="Z98" s="32"/>
      <c r="AA98" s="32"/>
    </row>
    <row r="99" spans="1:37" ht="36" customHeight="1" thickBot="1">
      <c r="A99" s="7" t="s">
        <v>9</v>
      </c>
      <c r="B99" s="7">
        <f>B55</f>
        <v>0</v>
      </c>
      <c r="C99" s="9"/>
      <c r="D99" s="9"/>
      <c r="E99" s="7" t="s">
        <v>10</v>
      </c>
      <c r="F99" s="7">
        <f>F55</f>
        <v>0</v>
      </c>
      <c r="G99" s="9"/>
      <c r="H99" s="7" t="s">
        <v>11</v>
      </c>
      <c r="I99" s="56">
        <f>I55</f>
        <v>0</v>
      </c>
      <c r="J99" s="57"/>
      <c r="K99" s="57"/>
      <c r="L99" s="57"/>
      <c r="M99" s="57"/>
      <c r="N99" s="57"/>
      <c r="O99" s="58"/>
      <c r="R99" s="29"/>
      <c r="S99" s="29"/>
      <c r="T99" s="29"/>
      <c r="U99" s="29"/>
      <c r="Z99" s="32"/>
      <c r="AA99" s="32"/>
    </row>
    <row r="100" spans="1:37" ht="30.75" customHeight="1" thickBo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1"/>
      <c r="L100" s="11"/>
      <c r="M100" s="11"/>
      <c r="N100" s="9"/>
      <c r="S100" s="29"/>
      <c r="T100" s="29"/>
      <c r="U100" s="29"/>
      <c r="Z100" s="32"/>
      <c r="AA100" s="32"/>
    </row>
    <row r="101" spans="1:37" ht="24" customHeight="1" thickBot="1">
      <c r="A101" s="7" t="s">
        <v>12</v>
      </c>
      <c r="B101" s="12">
        <v>0.08</v>
      </c>
      <c r="C101" s="9"/>
      <c r="D101" s="9"/>
      <c r="E101" s="7" t="s">
        <v>13</v>
      </c>
      <c r="F101" s="12">
        <v>0</v>
      </c>
      <c r="G101" s="9"/>
      <c r="H101" s="87" t="s">
        <v>14</v>
      </c>
      <c r="I101" s="88"/>
      <c r="J101" s="89"/>
      <c r="K101" s="90">
        <f>L85</f>
        <v>0</v>
      </c>
      <c r="L101" s="91"/>
      <c r="M101" s="91"/>
      <c r="N101" s="91"/>
      <c r="O101" s="92"/>
      <c r="Q101" s="75" t="s">
        <v>83</v>
      </c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I101" s="1">
        <f>AB117+AB160+AB203+AB246+AB289+AB332</f>
        <v>0</v>
      </c>
      <c r="AK101" s="15">
        <f>AB101-AI101</f>
        <v>0</v>
      </c>
    </row>
    <row r="102" spans="1:37" ht="15.75" thickBo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1"/>
      <c r="L102" s="11"/>
      <c r="M102" s="11"/>
      <c r="N102" s="9"/>
    </row>
    <row r="103" spans="1:37" ht="39.950000000000003" customHeight="1" thickBot="1">
      <c r="A103" s="81" t="s">
        <v>16</v>
      </c>
      <c r="B103" s="93" t="s">
        <v>17</v>
      </c>
      <c r="C103" s="94"/>
      <c r="D103" s="93" t="s">
        <v>18</v>
      </c>
      <c r="E103" s="94"/>
      <c r="F103" s="81" t="s">
        <v>19</v>
      </c>
      <c r="G103" s="81" t="s">
        <v>20</v>
      </c>
      <c r="H103" s="81" t="s">
        <v>21</v>
      </c>
      <c r="I103" s="81" t="s">
        <v>22</v>
      </c>
      <c r="J103" s="81" t="s">
        <v>23</v>
      </c>
      <c r="K103" s="83" t="s">
        <v>24</v>
      </c>
      <c r="L103" s="83" t="s">
        <v>25</v>
      </c>
      <c r="M103" s="83" t="s">
        <v>26</v>
      </c>
      <c r="N103" s="83" t="s">
        <v>27</v>
      </c>
      <c r="O103" s="85" t="s">
        <v>28</v>
      </c>
      <c r="Q103" s="75" t="s">
        <v>29</v>
      </c>
      <c r="R103" s="75" t="s">
        <v>30</v>
      </c>
      <c r="S103" s="75" t="s">
        <v>31</v>
      </c>
      <c r="T103" s="75" t="s">
        <v>32</v>
      </c>
      <c r="U103" s="75" t="s">
        <v>264</v>
      </c>
      <c r="V103" s="80" t="s">
        <v>33</v>
      </c>
      <c r="W103" s="80" t="s">
        <v>34</v>
      </c>
      <c r="X103" s="80" t="s">
        <v>35</v>
      </c>
      <c r="Y103" s="80" t="s">
        <v>36</v>
      </c>
      <c r="Z103" s="80" t="s">
        <v>37</v>
      </c>
      <c r="AA103" s="80" t="s">
        <v>38</v>
      </c>
      <c r="AB103" s="80" t="s">
        <v>39</v>
      </c>
      <c r="AC103" s="75" t="s">
        <v>40</v>
      </c>
      <c r="AD103" s="75" t="s">
        <v>41</v>
      </c>
      <c r="AE103" s="75" t="s">
        <v>42</v>
      </c>
    </row>
    <row r="104" spans="1:37" ht="39.950000000000003" customHeight="1" thickBot="1">
      <c r="A104" s="82"/>
      <c r="B104" s="7" t="s">
        <v>43</v>
      </c>
      <c r="C104" s="7" t="s">
        <v>44</v>
      </c>
      <c r="D104" s="7" t="s">
        <v>43</v>
      </c>
      <c r="E104" s="7" t="s">
        <v>44</v>
      </c>
      <c r="F104" s="82"/>
      <c r="G104" s="82"/>
      <c r="H104" s="82"/>
      <c r="I104" s="82"/>
      <c r="J104" s="82"/>
      <c r="K104" s="84"/>
      <c r="L104" s="84"/>
      <c r="M104" s="84"/>
      <c r="N104" s="84"/>
      <c r="O104" s="86"/>
      <c r="Q104" s="75"/>
      <c r="R104" s="75"/>
      <c r="S104" s="75"/>
      <c r="T104" s="75"/>
      <c r="U104" s="75"/>
      <c r="V104" s="80"/>
      <c r="W104" s="80"/>
      <c r="X104" s="80"/>
      <c r="Y104" s="80"/>
      <c r="Z104" s="80"/>
      <c r="AA104" s="80"/>
      <c r="AB104" s="80"/>
      <c r="AC104" s="75"/>
      <c r="AD104" s="75"/>
      <c r="AE104" s="75"/>
    </row>
    <row r="105" spans="1:37" ht="18" customHeight="1">
      <c r="A105" s="16" t="s">
        <v>84</v>
      </c>
      <c r="B105" s="17"/>
      <c r="C105" s="17"/>
      <c r="D105" s="17">
        <f>B105</f>
        <v>0</v>
      </c>
      <c r="E105" s="17">
        <f>C105</f>
        <v>0</v>
      </c>
      <c r="F105" s="17"/>
      <c r="G105" s="17">
        <f>(B105+C105+F105)+(D105+E105)</f>
        <v>0</v>
      </c>
      <c r="H105" s="17"/>
      <c r="I105" s="17">
        <f>(K101+B105+C105+F105)-H105</f>
        <v>0</v>
      </c>
      <c r="J105" s="17">
        <f>(D105+E105)</f>
        <v>0</v>
      </c>
      <c r="K105" s="17">
        <f>(K101+G105)-H105</f>
        <v>0</v>
      </c>
      <c r="L105" s="17">
        <f>ROUND((I105*8/100)/12,0)</f>
        <v>0</v>
      </c>
      <c r="M105" s="17">
        <f>ROUND((J105*8/100)/12,0)</f>
        <v>0</v>
      </c>
      <c r="N105" s="17">
        <f>L105+M105</f>
        <v>0</v>
      </c>
      <c r="O105" s="101" t="s">
        <v>46</v>
      </c>
      <c r="Q105" s="18"/>
      <c r="R105" s="18"/>
      <c r="S105" s="18"/>
      <c r="T105" s="18"/>
      <c r="U105" s="18"/>
      <c r="V105" s="19"/>
      <c r="W105" s="19"/>
      <c r="X105" s="19"/>
      <c r="Y105" s="19">
        <f>V105+W105+X105</f>
        <v>0</v>
      </c>
      <c r="Z105" s="19">
        <f>ROUND(Y105*10%,0)</f>
        <v>0</v>
      </c>
      <c r="AA105" s="19"/>
      <c r="AB105" s="19">
        <f>AA105-Z105</f>
        <v>0</v>
      </c>
      <c r="AC105" s="20">
        <v>39173</v>
      </c>
      <c r="AD105" s="20">
        <v>39202</v>
      </c>
      <c r="AE105" s="18"/>
    </row>
    <row r="106" spans="1:37" ht="18" customHeight="1">
      <c r="A106" s="21" t="s">
        <v>85</v>
      </c>
      <c r="B106" s="22"/>
      <c r="C106" s="22"/>
      <c r="D106" s="22">
        <f t="shared" ref="D106:E116" si="27">B106</f>
        <v>0</v>
      </c>
      <c r="E106" s="22">
        <f t="shared" si="27"/>
        <v>0</v>
      </c>
      <c r="F106" s="22"/>
      <c r="G106" s="22">
        <f t="shared" ref="G106:G116" si="28">(B106+C106+F106)+(D106+E106)</f>
        <v>0</v>
      </c>
      <c r="H106" s="22"/>
      <c r="I106" s="22">
        <f>(I105+B106+C106+F106)-H106</f>
        <v>0</v>
      </c>
      <c r="J106" s="22">
        <f>(J105+D106+E106)</f>
        <v>0</v>
      </c>
      <c r="K106" s="22">
        <f t="shared" ref="K106:K116" si="29">(K105+G106)-H106</f>
        <v>0</v>
      </c>
      <c r="L106" s="22">
        <f t="shared" ref="L106:M116" si="30">ROUND((I106*8/100)/12,0)</f>
        <v>0</v>
      </c>
      <c r="M106" s="22">
        <f t="shared" si="30"/>
        <v>0</v>
      </c>
      <c r="N106" s="22">
        <f t="shared" ref="N106:N116" si="31">L106+M106</f>
        <v>0</v>
      </c>
      <c r="O106" s="76"/>
      <c r="Q106" s="18"/>
      <c r="R106" s="18"/>
      <c r="S106" s="18"/>
      <c r="T106" s="18"/>
      <c r="U106" s="18"/>
      <c r="V106" s="19"/>
      <c r="W106" s="19"/>
      <c r="X106" s="19"/>
      <c r="Y106" s="19">
        <f>V106+W106+X106</f>
        <v>0</v>
      </c>
      <c r="Z106" s="19">
        <f>ROUND(Y106*10%,0)</f>
        <v>0</v>
      </c>
      <c r="AA106" s="19"/>
      <c r="AB106" s="19">
        <f>AA106-Z106</f>
        <v>0</v>
      </c>
      <c r="AC106" s="20">
        <v>39203</v>
      </c>
      <c r="AD106" s="20">
        <v>39233</v>
      </c>
      <c r="AE106" s="18"/>
    </row>
    <row r="107" spans="1:37" ht="18" customHeight="1">
      <c r="A107" s="21" t="s">
        <v>86</v>
      </c>
      <c r="B107" s="22"/>
      <c r="C107" s="22"/>
      <c r="D107" s="22">
        <f t="shared" si="27"/>
        <v>0</v>
      </c>
      <c r="E107" s="22">
        <f t="shared" si="27"/>
        <v>0</v>
      </c>
      <c r="F107" s="22"/>
      <c r="G107" s="22">
        <f t="shared" si="28"/>
        <v>0</v>
      </c>
      <c r="H107" s="22"/>
      <c r="I107" s="22">
        <f t="shared" ref="I107:I116" si="32">(I106+B107+C107+F107)-H107</f>
        <v>0</v>
      </c>
      <c r="J107" s="22">
        <f t="shared" ref="J107:J116" si="33">(J106+D107+E107)</f>
        <v>0</v>
      </c>
      <c r="K107" s="22">
        <f t="shared" si="29"/>
        <v>0</v>
      </c>
      <c r="L107" s="22">
        <f t="shared" si="30"/>
        <v>0</v>
      </c>
      <c r="M107" s="22">
        <f t="shared" si="30"/>
        <v>0</v>
      </c>
      <c r="N107" s="22">
        <f t="shared" si="31"/>
        <v>0</v>
      </c>
      <c r="O107" s="76"/>
      <c r="Q107" s="18"/>
      <c r="R107" s="18"/>
      <c r="S107" s="18"/>
      <c r="T107" s="18"/>
      <c r="U107" s="18"/>
      <c r="V107" s="19"/>
      <c r="W107" s="19"/>
      <c r="X107" s="19"/>
      <c r="Y107" s="19">
        <f>V107+W107+X107</f>
        <v>0</v>
      </c>
      <c r="Z107" s="19">
        <f>ROUND(Y107*10%,0)</f>
        <v>0</v>
      </c>
      <c r="AA107" s="19"/>
      <c r="AB107" s="19">
        <f>AA107-Z107</f>
        <v>0</v>
      </c>
      <c r="AC107" s="20">
        <v>39173</v>
      </c>
      <c r="AD107" s="20">
        <v>39263</v>
      </c>
      <c r="AE107" s="18"/>
    </row>
    <row r="108" spans="1:37" ht="18" customHeight="1">
      <c r="A108" s="21" t="s">
        <v>87</v>
      </c>
      <c r="B108" s="22"/>
      <c r="C108" s="22"/>
      <c r="D108" s="22">
        <f t="shared" si="27"/>
        <v>0</v>
      </c>
      <c r="E108" s="22">
        <f t="shared" si="27"/>
        <v>0</v>
      </c>
      <c r="F108" s="22"/>
      <c r="G108" s="22">
        <f t="shared" si="28"/>
        <v>0</v>
      </c>
      <c r="H108" s="22"/>
      <c r="I108" s="22">
        <f t="shared" si="32"/>
        <v>0</v>
      </c>
      <c r="J108" s="22">
        <f t="shared" si="33"/>
        <v>0</v>
      </c>
      <c r="K108" s="22">
        <f t="shared" si="29"/>
        <v>0</v>
      </c>
      <c r="L108" s="22">
        <f t="shared" si="30"/>
        <v>0</v>
      </c>
      <c r="M108" s="22">
        <f t="shared" si="30"/>
        <v>0</v>
      </c>
      <c r="N108" s="22">
        <f t="shared" si="31"/>
        <v>0</v>
      </c>
      <c r="O108" s="76"/>
      <c r="Q108" s="18"/>
      <c r="R108" s="18"/>
      <c r="S108" s="18"/>
      <c r="T108" s="18"/>
      <c r="U108" s="18"/>
      <c r="V108" s="19"/>
      <c r="W108" s="19"/>
      <c r="X108" s="19"/>
      <c r="Y108" s="19">
        <f>V108+W108+X108</f>
        <v>0</v>
      </c>
      <c r="Z108" s="19">
        <f>ROUND(Y108*10%,0)</f>
        <v>0</v>
      </c>
      <c r="AA108" s="19"/>
      <c r="AB108" s="19">
        <f t="shared" ref="AB108:AB116" si="34">AA108-Z108</f>
        <v>0</v>
      </c>
      <c r="AC108" s="20">
        <v>39264</v>
      </c>
      <c r="AD108" s="20">
        <v>39294</v>
      </c>
      <c r="AE108" s="18"/>
    </row>
    <row r="109" spans="1:37" ht="18" customHeight="1">
      <c r="A109" s="21" t="s">
        <v>88</v>
      </c>
      <c r="B109" s="22"/>
      <c r="C109" s="22"/>
      <c r="D109" s="22">
        <f t="shared" si="27"/>
        <v>0</v>
      </c>
      <c r="E109" s="22">
        <f t="shared" si="27"/>
        <v>0</v>
      </c>
      <c r="F109" s="22"/>
      <c r="G109" s="22">
        <f t="shared" si="28"/>
        <v>0</v>
      </c>
      <c r="H109" s="22"/>
      <c r="I109" s="22">
        <f t="shared" si="32"/>
        <v>0</v>
      </c>
      <c r="J109" s="22">
        <f t="shared" si="33"/>
        <v>0</v>
      </c>
      <c r="K109" s="22">
        <f t="shared" si="29"/>
        <v>0</v>
      </c>
      <c r="L109" s="22">
        <f t="shared" si="30"/>
        <v>0</v>
      </c>
      <c r="M109" s="22">
        <f t="shared" si="30"/>
        <v>0</v>
      </c>
      <c r="N109" s="22">
        <f t="shared" si="31"/>
        <v>0</v>
      </c>
      <c r="O109" s="76"/>
      <c r="Q109" s="18"/>
      <c r="R109" s="18"/>
      <c r="S109" s="18"/>
      <c r="T109" s="18"/>
      <c r="U109" s="18"/>
      <c r="V109" s="19"/>
      <c r="W109" s="19"/>
      <c r="X109" s="19"/>
      <c r="Y109" s="19">
        <f t="shared" ref="Y109:Y116" si="35">V109+W109+X109</f>
        <v>0</v>
      </c>
      <c r="Z109" s="19">
        <f t="shared" ref="Z109:Z116" si="36">ROUND(Y109*10%,0)</f>
        <v>0</v>
      </c>
      <c r="AA109" s="19"/>
      <c r="AB109" s="19">
        <f t="shared" si="34"/>
        <v>0</v>
      </c>
      <c r="AC109" s="20">
        <v>39295</v>
      </c>
      <c r="AD109" s="20">
        <v>39325</v>
      </c>
      <c r="AE109" s="18"/>
    </row>
    <row r="110" spans="1:37" ht="18" customHeight="1">
      <c r="A110" s="21" t="s">
        <v>89</v>
      </c>
      <c r="B110" s="22"/>
      <c r="C110" s="22"/>
      <c r="D110" s="22">
        <f t="shared" si="27"/>
        <v>0</v>
      </c>
      <c r="E110" s="22">
        <f t="shared" si="27"/>
        <v>0</v>
      </c>
      <c r="F110" s="22"/>
      <c r="G110" s="22">
        <f t="shared" si="28"/>
        <v>0</v>
      </c>
      <c r="H110" s="22"/>
      <c r="I110" s="22">
        <f t="shared" si="32"/>
        <v>0</v>
      </c>
      <c r="J110" s="22">
        <f t="shared" si="33"/>
        <v>0</v>
      </c>
      <c r="K110" s="22">
        <f t="shared" si="29"/>
        <v>0</v>
      </c>
      <c r="L110" s="22">
        <f t="shared" si="30"/>
        <v>0</v>
      </c>
      <c r="M110" s="22">
        <f t="shared" si="30"/>
        <v>0</v>
      </c>
      <c r="N110" s="22">
        <f t="shared" si="31"/>
        <v>0</v>
      </c>
      <c r="O110" s="76"/>
      <c r="Q110" s="18"/>
      <c r="R110" s="18"/>
      <c r="S110" s="18"/>
      <c r="T110" s="18"/>
      <c r="U110" s="18"/>
      <c r="V110" s="19"/>
      <c r="W110" s="19"/>
      <c r="X110" s="19"/>
      <c r="Y110" s="19">
        <f t="shared" si="35"/>
        <v>0</v>
      </c>
      <c r="Z110" s="19">
        <f t="shared" si="36"/>
        <v>0</v>
      </c>
      <c r="AA110" s="19"/>
      <c r="AB110" s="19">
        <f t="shared" si="34"/>
        <v>0</v>
      </c>
      <c r="AC110" s="20">
        <v>39326</v>
      </c>
      <c r="AD110" s="20">
        <v>39355</v>
      </c>
      <c r="AE110" s="18"/>
    </row>
    <row r="111" spans="1:37" ht="18" customHeight="1">
      <c r="A111" s="21" t="s">
        <v>90</v>
      </c>
      <c r="B111" s="22"/>
      <c r="C111" s="22"/>
      <c r="D111" s="22">
        <f t="shared" si="27"/>
        <v>0</v>
      </c>
      <c r="E111" s="22">
        <f t="shared" si="27"/>
        <v>0</v>
      </c>
      <c r="F111" s="22"/>
      <c r="G111" s="22">
        <f t="shared" si="28"/>
        <v>0</v>
      </c>
      <c r="H111" s="22"/>
      <c r="I111" s="22">
        <f t="shared" si="32"/>
        <v>0</v>
      </c>
      <c r="J111" s="22">
        <f t="shared" si="33"/>
        <v>0</v>
      </c>
      <c r="K111" s="22">
        <f t="shared" si="29"/>
        <v>0</v>
      </c>
      <c r="L111" s="22">
        <f t="shared" si="30"/>
        <v>0</v>
      </c>
      <c r="M111" s="22">
        <f t="shared" si="30"/>
        <v>0</v>
      </c>
      <c r="N111" s="22">
        <f t="shared" si="31"/>
        <v>0</v>
      </c>
      <c r="O111" s="76"/>
      <c r="Q111" s="18"/>
      <c r="R111" s="18"/>
      <c r="S111" s="18"/>
      <c r="T111" s="18"/>
      <c r="U111" s="18"/>
      <c r="V111" s="19"/>
      <c r="W111" s="19"/>
      <c r="X111" s="19"/>
      <c r="Y111" s="19">
        <f t="shared" si="35"/>
        <v>0</v>
      </c>
      <c r="Z111" s="19">
        <f t="shared" si="36"/>
        <v>0</v>
      </c>
      <c r="AA111" s="19"/>
      <c r="AB111" s="19">
        <f t="shared" si="34"/>
        <v>0</v>
      </c>
      <c r="AC111" s="20">
        <v>39356</v>
      </c>
      <c r="AD111" s="20">
        <v>39386</v>
      </c>
      <c r="AE111" s="18"/>
    </row>
    <row r="112" spans="1:37" ht="18" customHeight="1">
      <c r="A112" s="21" t="s">
        <v>91</v>
      </c>
      <c r="B112" s="22"/>
      <c r="C112" s="22"/>
      <c r="D112" s="22">
        <f t="shared" si="27"/>
        <v>0</v>
      </c>
      <c r="E112" s="22">
        <f t="shared" si="27"/>
        <v>0</v>
      </c>
      <c r="F112" s="22"/>
      <c r="G112" s="22">
        <f t="shared" si="28"/>
        <v>0</v>
      </c>
      <c r="H112" s="22"/>
      <c r="I112" s="22">
        <f t="shared" si="32"/>
        <v>0</v>
      </c>
      <c r="J112" s="22">
        <f t="shared" si="33"/>
        <v>0</v>
      </c>
      <c r="K112" s="22">
        <f t="shared" si="29"/>
        <v>0</v>
      </c>
      <c r="L112" s="22">
        <f t="shared" si="30"/>
        <v>0</v>
      </c>
      <c r="M112" s="22">
        <f t="shared" si="30"/>
        <v>0</v>
      </c>
      <c r="N112" s="22">
        <f t="shared" si="31"/>
        <v>0</v>
      </c>
      <c r="O112" s="76"/>
      <c r="Q112" s="18"/>
      <c r="R112" s="18"/>
      <c r="S112" s="18"/>
      <c r="T112" s="18"/>
      <c r="U112" s="18"/>
      <c r="V112" s="19"/>
      <c r="W112" s="19"/>
      <c r="X112" s="19"/>
      <c r="Y112" s="19">
        <f t="shared" si="35"/>
        <v>0</v>
      </c>
      <c r="Z112" s="19">
        <f t="shared" si="36"/>
        <v>0</v>
      </c>
      <c r="AA112" s="19"/>
      <c r="AB112" s="19">
        <f t="shared" si="34"/>
        <v>0</v>
      </c>
      <c r="AC112" s="20">
        <v>39387</v>
      </c>
      <c r="AD112" s="20">
        <v>39416</v>
      </c>
      <c r="AE112" s="18"/>
    </row>
    <row r="113" spans="1:31" ht="18" customHeight="1">
      <c r="A113" s="21" t="s">
        <v>92</v>
      </c>
      <c r="B113" s="22"/>
      <c r="C113" s="22"/>
      <c r="D113" s="22">
        <f t="shared" si="27"/>
        <v>0</v>
      </c>
      <c r="E113" s="22">
        <f t="shared" si="27"/>
        <v>0</v>
      </c>
      <c r="F113" s="22"/>
      <c r="G113" s="22">
        <f t="shared" si="28"/>
        <v>0</v>
      </c>
      <c r="H113" s="22"/>
      <c r="I113" s="22">
        <f t="shared" si="32"/>
        <v>0</v>
      </c>
      <c r="J113" s="22">
        <f t="shared" si="33"/>
        <v>0</v>
      </c>
      <c r="K113" s="22">
        <f t="shared" si="29"/>
        <v>0</v>
      </c>
      <c r="L113" s="22">
        <f t="shared" si="30"/>
        <v>0</v>
      </c>
      <c r="M113" s="22">
        <f t="shared" si="30"/>
        <v>0</v>
      </c>
      <c r="N113" s="22">
        <f t="shared" si="31"/>
        <v>0</v>
      </c>
      <c r="O113" s="76"/>
      <c r="Q113" s="18"/>
      <c r="R113" s="18"/>
      <c r="S113" s="18"/>
      <c r="T113" s="18"/>
      <c r="U113" s="18"/>
      <c r="V113" s="19"/>
      <c r="W113" s="19"/>
      <c r="X113" s="19"/>
      <c r="Y113" s="19">
        <f t="shared" si="35"/>
        <v>0</v>
      </c>
      <c r="Z113" s="19">
        <f t="shared" si="36"/>
        <v>0</v>
      </c>
      <c r="AA113" s="19"/>
      <c r="AB113" s="19">
        <f t="shared" si="34"/>
        <v>0</v>
      </c>
      <c r="AC113" s="20">
        <v>39417</v>
      </c>
      <c r="AD113" s="20">
        <v>39447</v>
      </c>
      <c r="AE113" s="18"/>
    </row>
    <row r="114" spans="1:31" ht="18" customHeight="1">
      <c r="A114" s="21" t="s">
        <v>93</v>
      </c>
      <c r="B114" s="22"/>
      <c r="C114" s="22"/>
      <c r="D114" s="22">
        <f t="shared" si="27"/>
        <v>0</v>
      </c>
      <c r="E114" s="22">
        <f t="shared" si="27"/>
        <v>0</v>
      </c>
      <c r="F114" s="22"/>
      <c r="G114" s="22">
        <f t="shared" si="28"/>
        <v>0</v>
      </c>
      <c r="H114" s="22"/>
      <c r="I114" s="22">
        <f t="shared" si="32"/>
        <v>0</v>
      </c>
      <c r="J114" s="22">
        <f t="shared" si="33"/>
        <v>0</v>
      </c>
      <c r="K114" s="22">
        <f t="shared" si="29"/>
        <v>0</v>
      </c>
      <c r="L114" s="22">
        <f t="shared" si="30"/>
        <v>0</v>
      </c>
      <c r="M114" s="22">
        <f t="shared" si="30"/>
        <v>0</v>
      </c>
      <c r="N114" s="22">
        <f t="shared" si="31"/>
        <v>0</v>
      </c>
      <c r="O114" s="76"/>
      <c r="Q114" s="18"/>
      <c r="R114" s="18"/>
      <c r="S114" s="18"/>
      <c r="T114" s="18"/>
      <c r="U114" s="18"/>
      <c r="V114" s="19"/>
      <c r="W114" s="19"/>
      <c r="X114" s="19"/>
      <c r="Y114" s="19">
        <f t="shared" si="35"/>
        <v>0</v>
      </c>
      <c r="Z114" s="19">
        <f t="shared" si="36"/>
        <v>0</v>
      </c>
      <c r="AA114" s="19"/>
      <c r="AB114" s="19">
        <f t="shared" si="34"/>
        <v>0</v>
      </c>
      <c r="AC114" s="20">
        <v>39448</v>
      </c>
      <c r="AD114" s="20">
        <v>39478</v>
      </c>
      <c r="AE114" s="18"/>
    </row>
    <row r="115" spans="1:31" ht="18" customHeight="1">
      <c r="A115" s="21" t="s">
        <v>94</v>
      </c>
      <c r="B115" s="22"/>
      <c r="C115" s="22"/>
      <c r="D115" s="22">
        <f t="shared" si="27"/>
        <v>0</v>
      </c>
      <c r="E115" s="22">
        <f t="shared" si="27"/>
        <v>0</v>
      </c>
      <c r="F115" s="22"/>
      <c r="G115" s="22">
        <f t="shared" si="28"/>
        <v>0</v>
      </c>
      <c r="H115" s="22"/>
      <c r="I115" s="22">
        <f t="shared" si="32"/>
        <v>0</v>
      </c>
      <c r="J115" s="22">
        <f t="shared" si="33"/>
        <v>0</v>
      </c>
      <c r="K115" s="22">
        <f t="shared" si="29"/>
        <v>0</v>
      </c>
      <c r="L115" s="22">
        <f t="shared" si="30"/>
        <v>0</v>
      </c>
      <c r="M115" s="22">
        <f t="shared" si="30"/>
        <v>0</v>
      </c>
      <c r="N115" s="22">
        <f t="shared" si="31"/>
        <v>0</v>
      </c>
      <c r="O115" s="76"/>
      <c r="Q115" s="18"/>
      <c r="R115" s="18"/>
      <c r="S115" s="18"/>
      <c r="T115" s="18"/>
      <c r="U115" s="18"/>
      <c r="V115" s="19"/>
      <c r="W115" s="19"/>
      <c r="X115" s="19"/>
      <c r="Y115" s="19">
        <f t="shared" si="35"/>
        <v>0</v>
      </c>
      <c r="Z115" s="19">
        <f t="shared" si="36"/>
        <v>0</v>
      </c>
      <c r="AA115" s="19"/>
      <c r="AB115" s="19">
        <f t="shared" si="34"/>
        <v>0</v>
      </c>
      <c r="AC115" s="20">
        <v>39479</v>
      </c>
      <c r="AD115" s="20">
        <v>39506</v>
      </c>
      <c r="AE115" s="18"/>
    </row>
    <row r="116" spans="1:31" ht="18" customHeight="1" thickBot="1">
      <c r="A116" s="23" t="s">
        <v>95</v>
      </c>
      <c r="B116" s="24"/>
      <c r="C116" s="24"/>
      <c r="D116" s="24">
        <f t="shared" si="27"/>
        <v>0</v>
      </c>
      <c r="E116" s="24">
        <f t="shared" si="27"/>
        <v>0</v>
      </c>
      <c r="F116" s="24"/>
      <c r="G116" s="24">
        <f t="shared" si="28"/>
        <v>0</v>
      </c>
      <c r="H116" s="24"/>
      <c r="I116" s="24">
        <f t="shared" si="32"/>
        <v>0</v>
      </c>
      <c r="J116" s="24">
        <f t="shared" si="33"/>
        <v>0</v>
      </c>
      <c r="K116" s="24">
        <f t="shared" si="29"/>
        <v>0</v>
      </c>
      <c r="L116" s="24">
        <f t="shared" si="30"/>
        <v>0</v>
      </c>
      <c r="M116" s="24">
        <f t="shared" si="30"/>
        <v>0</v>
      </c>
      <c r="N116" s="24">
        <f t="shared" si="31"/>
        <v>0</v>
      </c>
      <c r="O116" s="98"/>
      <c r="Q116" s="18"/>
      <c r="R116" s="18"/>
      <c r="S116" s="18"/>
      <c r="T116" s="18"/>
      <c r="U116" s="18"/>
      <c r="V116" s="19"/>
      <c r="W116" s="19"/>
      <c r="X116" s="19"/>
      <c r="Y116" s="19">
        <f t="shared" si="35"/>
        <v>0</v>
      </c>
      <c r="Z116" s="19">
        <f t="shared" si="36"/>
        <v>0</v>
      </c>
      <c r="AA116" s="19"/>
      <c r="AB116" s="19">
        <f t="shared" si="34"/>
        <v>0</v>
      </c>
      <c r="AC116" s="20">
        <v>39508</v>
      </c>
      <c r="AD116" s="20">
        <v>39538</v>
      </c>
      <c r="AE116" s="18"/>
    </row>
    <row r="117" spans="1:31" ht="18" customHeight="1" thickBot="1">
      <c r="A117" s="7" t="s">
        <v>96</v>
      </c>
      <c r="B117" s="25">
        <f t="shared" ref="B117:H117" si="37">SUM(B105:B116)</f>
        <v>0</v>
      </c>
      <c r="C117" s="25">
        <f t="shared" si="37"/>
        <v>0</v>
      </c>
      <c r="D117" s="25">
        <f t="shared" si="37"/>
        <v>0</v>
      </c>
      <c r="E117" s="25">
        <f t="shared" si="37"/>
        <v>0</v>
      </c>
      <c r="F117" s="25">
        <f t="shared" si="37"/>
        <v>0</v>
      </c>
      <c r="G117" s="25">
        <f t="shared" si="37"/>
        <v>0</v>
      </c>
      <c r="H117" s="25">
        <f t="shared" si="37"/>
        <v>0</v>
      </c>
      <c r="I117" s="25">
        <f t="shared" ref="I117:N117" si="38">SUM(I105:I116)</f>
        <v>0</v>
      </c>
      <c r="J117" s="25">
        <f t="shared" si="38"/>
        <v>0</v>
      </c>
      <c r="K117" s="25">
        <f t="shared" si="38"/>
        <v>0</v>
      </c>
      <c r="L117" s="25">
        <f t="shared" si="38"/>
        <v>0</v>
      </c>
      <c r="M117" s="25">
        <f t="shared" si="38"/>
        <v>0</v>
      </c>
      <c r="N117" s="13">
        <f t="shared" si="38"/>
        <v>0</v>
      </c>
      <c r="O117" s="26"/>
      <c r="Q117" s="77" t="s">
        <v>36</v>
      </c>
      <c r="R117" s="78"/>
      <c r="S117" s="78"/>
      <c r="T117" s="79"/>
      <c r="U117" s="27"/>
      <c r="V117" s="28">
        <f t="shared" ref="V117:AB117" si="39">SUM(V105:V116)</f>
        <v>0</v>
      </c>
      <c r="W117" s="28">
        <f t="shared" si="39"/>
        <v>0</v>
      </c>
      <c r="X117" s="28">
        <f t="shared" si="39"/>
        <v>0</v>
      </c>
      <c r="Y117" s="28">
        <f t="shared" si="39"/>
        <v>0</v>
      </c>
      <c r="Z117" s="28">
        <f t="shared" si="39"/>
        <v>0</v>
      </c>
      <c r="AA117" s="28">
        <f t="shared" si="39"/>
        <v>0</v>
      </c>
      <c r="AB117" s="28">
        <f t="shared" si="39"/>
        <v>0</v>
      </c>
      <c r="AC117" s="18"/>
      <c r="AD117" s="18"/>
      <c r="AE117" s="18"/>
    </row>
    <row r="118" spans="1:31" ht="15.75" thickBo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1"/>
      <c r="L118" s="11"/>
      <c r="M118" s="11"/>
      <c r="N118" s="11"/>
    </row>
    <row r="119" spans="1:31" ht="18" customHeight="1" thickBot="1">
      <c r="A119" s="9"/>
      <c r="B119" s="11"/>
      <c r="C119" s="11"/>
      <c r="D119" s="11"/>
      <c r="E119" s="9"/>
      <c r="F119" s="8">
        <v>1</v>
      </c>
      <c r="G119" s="57" t="s">
        <v>59</v>
      </c>
      <c r="H119" s="57"/>
      <c r="I119" s="57"/>
      <c r="J119" s="57"/>
      <c r="K119" s="58"/>
      <c r="L119" s="25">
        <f>K101</f>
        <v>0</v>
      </c>
      <c r="M119" s="5"/>
      <c r="O119" s="1"/>
      <c r="S119" s="29"/>
      <c r="T119" s="29"/>
      <c r="U119" s="29"/>
      <c r="AA119" s="15"/>
      <c r="AB119" s="15"/>
    </row>
    <row r="120" spans="1:31" ht="18" customHeight="1" thickBot="1">
      <c r="A120" s="9"/>
      <c r="B120" s="9"/>
      <c r="C120" s="9"/>
      <c r="D120" s="9"/>
      <c r="E120" s="9"/>
      <c r="F120" s="8">
        <v>2</v>
      </c>
      <c r="G120" s="57" t="s">
        <v>60</v>
      </c>
      <c r="H120" s="57"/>
      <c r="I120" s="57"/>
      <c r="J120" s="57"/>
      <c r="K120" s="58"/>
      <c r="L120" s="25">
        <f>B117+C117</f>
        <v>0</v>
      </c>
      <c r="M120" s="5"/>
      <c r="O120" s="1"/>
      <c r="S120" s="29"/>
      <c r="T120" s="29"/>
      <c r="U120" s="29"/>
      <c r="AA120" s="15"/>
      <c r="AB120" s="15"/>
    </row>
    <row r="121" spans="1:31" ht="18" customHeight="1" thickBot="1">
      <c r="A121" s="9"/>
      <c r="B121" s="9"/>
      <c r="C121" s="9"/>
      <c r="D121" s="9"/>
      <c r="E121" s="9"/>
      <c r="F121" s="8">
        <v>3</v>
      </c>
      <c r="G121" s="57" t="s">
        <v>61</v>
      </c>
      <c r="H121" s="57"/>
      <c r="I121" s="57"/>
      <c r="J121" s="57"/>
      <c r="K121" s="58"/>
      <c r="L121" s="25">
        <f>F117</f>
        <v>0</v>
      </c>
      <c r="M121" s="5"/>
      <c r="O121" s="1"/>
      <c r="S121" s="29"/>
      <c r="T121" s="29"/>
      <c r="U121" s="29"/>
      <c r="AA121" s="15"/>
      <c r="AB121" s="15"/>
    </row>
    <row r="122" spans="1:31" ht="18" customHeight="1" thickBot="1">
      <c r="A122" s="9"/>
      <c r="B122" s="9"/>
      <c r="C122" s="9"/>
      <c r="D122" s="9"/>
      <c r="E122" s="9"/>
      <c r="F122" s="8">
        <v>4</v>
      </c>
      <c r="G122" s="57" t="s">
        <v>62</v>
      </c>
      <c r="H122" s="57"/>
      <c r="I122" s="57"/>
      <c r="J122" s="57"/>
      <c r="K122" s="58"/>
      <c r="L122" s="25">
        <f>L120+L121</f>
        <v>0</v>
      </c>
      <c r="M122" s="5"/>
      <c r="O122" s="1"/>
      <c r="S122" s="29"/>
      <c r="T122" s="29"/>
      <c r="U122" s="29"/>
      <c r="AA122" s="15"/>
      <c r="AB122" s="15"/>
    </row>
    <row r="123" spans="1:31" ht="18" customHeight="1" thickBot="1">
      <c r="A123" s="9"/>
      <c r="B123" s="9"/>
      <c r="C123" s="9"/>
      <c r="D123" s="9"/>
      <c r="E123" s="9"/>
      <c r="F123" s="8">
        <v>5</v>
      </c>
      <c r="G123" s="57" t="s">
        <v>18</v>
      </c>
      <c r="H123" s="57"/>
      <c r="I123" s="57"/>
      <c r="J123" s="57"/>
      <c r="K123" s="58"/>
      <c r="L123" s="25">
        <f>D117+E117</f>
        <v>0</v>
      </c>
      <c r="M123" s="5"/>
      <c r="O123" s="1"/>
      <c r="S123" s="29"/>
      <c r="T123" s="29"/>
      <c r="U123" s="29"/>
      <c r="AA123" s="15"/>
      <c r="AB123" s="15"/>
    </row>
    <row r="124" spans="1:31" ht="18" customHeight="1" thickBot="1">
      <c r="A124" s="9"/>
      <c r="B124" s="9"/>
      <c r="C124" s="9"/>
      <c r="D124" s="9"/>
      <c r="E124" s="9"/>
      <c r="F124" s="8">
        <v>6</v>
      </c>
      <c r="G124" s="57" t="s">
        <v>63</v>
      </c>
      <c r="H124" s="57"/>
      <c r="I124" s="57"/>
      <c r="J124" s="57"/>
      <c r="K124" s="58"/>
      <c r="L124" s="25">
        <f>L119+L122+L123</f>
        <v>0</v>
      </c>
      <c r="M124" s="5"/>
      <c r="O124" s="1"/>
      <c r="S124" s="29"/>
      <c r="T124" s="29"/>
      <c r="U124" s="29"/>
      <c r="AA124" s="15"/>
      <c r="AB124" s="15"/>
    </row>
    <row r="125" spans="1:31" ht="18" customHeight="1" thickBot="1">
      <c r="A125" s="9"/>
      <c r="B125" s="9"/>
      <c r="C125" s="9"/>
      <c r="D125" s="9"/>
      <c r="E125" s="9"/>
      <c r="F125" s="8">
        <v>7</v>
      </c>
      <c r="G125" s="57" t="s">
        <v>64</v>
      </c>
      <c r="H125" s="57"/>
      <c r="I125" s="57"/>
      <c r="J125" s="57"/>
      <c r="K125" s="58"/>
      <c r="L125" s="25">
        <f>H117</f>
        <v>0</v>
      </c>
      <c r="M125" s="5"/>
      <c r="O125" s="1"/>
      <c r="S125" s="29"/>
      <c r="T125" s="29"/>
      <c r="U125" s="29"/>
      <c r="AA125" s="15"/>
      <c r="AB125" s="15"/>
    </row>
    <row r="126" spans="1:31" ht="18" customHeight="1" thickBot="1">
      <c r="A126" s="9"/>
      <c r="B126" s="9"/>
      <c r="C126" s="9"/>
      <c r="D126" s="9"/>
      <c r="E126" s="9"/>
      <c r="F126" s="8">
        <v>8</v>
      </c>
      <c r="G126" s="57" t="s">
        <v>25</v>
      </c>
      <c r="H126" s="57"/>
      <c r="I126" s="57"/>
      <c r="J126" s="57"/>
      <c r="K126" s="58"/>
      <c r="L126" s="25">
        <f>L117</f>
        <v>0</v>
      </c>
      <c r="M126" s="5"/>
      <c r="O126" s="1"/>
      <c r="S126" s="29"/>
      <c r="T126" s="29"/>
      <c r="U126" s="29"/>
      <c r="AA126" s="15"/>
      <c r="AB126" s="15"/>
    </row>
    <row r="127" spans="1:31" ht="18" customHeight="1" thickBot="1">
      <c r="A127" s="9"/>
      <c r="B127" s="9"/>
      <c r="C127" s="9"/>
      <c r="D127" s="9"/>
      <c r="E127" s="9"/>
      <c r="F127" s="8">
        <v>9</v>
      </c>
      <c r="G127" s="57" t="s">
        <v>26</v>
      </c>
      <c r="H127" s="57"/>
      <c r="I127" s="57"/>
      <c r="J127" s="57"/>
      <c r="K127" s="58"/>
      <c r="L127" s="25">
        <f>M117</f>
        <v>0</v>
      </c>
      <c r="M127" s="5"/>
      <c r="O127" s="1"/>
      <c r="S127" s="29"/>
      <c r="T127" s="29"/>
      <c r="U127" s="29"/>
      <c r="AA127" s="15"/>
      <c r="AB127" s="15"/>
    </row>
    <row r="128" spans="1:31" ht="18" customHeight="1" thickBot="1">
      <c r="A128" s="9"/>
      <c r="B128" s="9"/>
      <c r="C128" s="9"/>
      <c r="D128" s="9"/>
      <c r="E128" s="9"/>
      <c r="F128" s="8">
        <v>10</v>
      </c>
      <c r="G128" s="57" t="s">
        <v>65</v>
      </c>
      <c r="H128" s="57"/>
      <c r="I128" s="57"/>
      <c r="J128" s="57"/>
      <c r="K128" s="58"/>
      <c r="L128" s="25">
        <f>N117</f>
        <v>0</v>
      </c>
      <c r="M128" s="5"/>
      <c r="O128" s="1"/>
      <c r="S128" s="29"/>
      <c r="T128" s="29"/>
      <c r="U128" s="29"/>
      <c r="AA128" s="15"/>
      <c r="AB128" s="15"/>
    </row>
    <row r="129" spans="1:31" ht="18" customHeight="1" thickBot="1">
      <c r="A129" s="9"/>
      <c r="B129" s="9"/>
      <c r="C129" s="9"/>
      <c r="D129" s="9"/>
      <c r="E129" s="9"/>
      <c r="F129" s="8">
        <v>11</v>
      </c>
      <c r="G129" s="57" t="s">
        <v>97</v>
      </c>
      <c r="H129" s="57"/>
      <c r="I129" s="57"/>
      <c r="J129" s="57"/>
      <c r="K129" s="58"/>
      <c r="L129" s="25">
        <f>L124-L125+L128</f>
        <v>0</v>
      </c>
      <c r="M129" s="5"/>
      <c r="O129" s="1"/>
      <c r="S129" s="29"/>
      <c r="T129" s="29"/>
      <c r="U129" s="29"/>
      <c r="AA129" s="15"/>
      <c r="AB129" s="15"/>
    </row>
    <row r="130" spans="1:31">
      <c r="A130" s="9"/>
      <c r="B130" s="9"/>
      <c r="C130" s="9"/>
      <c r="D130" s="9"/>
      <c r="E130" s="9"/>
      <c r="F130" s="9"/>
      <c r="G130" s="30"/>
      <c r="H130" s="30"/>
      <c r="I130" s="30"/>
      <c r="J130" s="30"/>
      <c r="K130" s="30"/>
      <c r="L130" s="30"/>
      <c r="M130" s="30"/>
      <c r="N130" s="11"/>
    </row>
    <row r="131" spans="1:31"/>
    <row r="132" spans="1:31"/>
    <row r="133" spans="1:31" ht="18">
      <c r="A133" s="73" t="s">
        <v>2</v>
      </c>
      <c r="B133" s="73"/>
      <c r="C133" s="3"/>
      <c r="D133" s="3"/>
      <c r="E133" s="73" t="s">
        <v>3</v>
      </c>
      <c r="F133" s="73"/>
      <c r="G133" s="73"/>
      <c r="H133" s="100" t="s">
        <v>4</v>
      </c>
      <c r="I133" s="100"/>
      <c r="J133" s="100"/>
      <c r="K133" s="100"/>
      <c r="L133" s="100"/>
      <c r="M133" s="100"/>
      <c r="N133" s="100"/>
    </row>
    <row r="134" spans="1:31"/>
    <row r="135" spans="1:31"/>
    <row r="136" spans="1:31" ht="18.75">
      <c r="A136" s="67" t="s">
        <v>0</v>
      </c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33"/>
    </row>
    <row r="137" spans="1:31" ht="18.75">
      <c r="A137" s="67" t="s">
        <v>1</v>
      </c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33"/>
    </row>
    <row r="138" spans="1:31"/>
    <row r="139" spans="1:31" ht="15.75" thickBot="1">
      <c r="A139" s="68" t="s">
        <v>98</v>
      </c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</row>
    <row r="140" spans="1:31" ht="36" customHeight="1" thickBot="1">
      <c r="A140" s="7" t="s">
        <v>7</v>
      </c>
      <c r="B140" s="8">
        <f>B97</f>
        <v>0</v>
      </c>
      <c r="C140" s="9"/>
      <c r="D140" s="9"/>
      <c r="E140" s="56" t="s">
        <v>8</v>
      </c>
      <c r="F140" s="58">
        <f>H97</f>
        <v>0</v>
      </c>
      <c r="G140" s="9"/>
      <c r="H140" s="56">
        <f>H97</f>
        <v>0</v>
      </c>
      <c r="I140" s="57"/>
      <c r="J140" s="57"/>
      <c r="K140" s="57"/>
      <c r="L140" s="57"/>
      <c r="M140" s="57"/>
      <c r="N140" s="57"/>
      <c r="O140" s="58"/>
    </row>
    <row r="141" spans="1:31" ht="15.75" thickBot="1">
      <c r="A141" s="9"/>
      <c r="E141" s="9"/>
      <c r="F141" s="9"/>
      <c r="G141" s="9"/>
      <c r="H141" s="9"/>
      <c r="I141" s="9"/>
      <c r="J141" s="9"/>
      <c r="K141" s="11"/>
      <c r="L141" s="11"/>
      <c r="M141" s="11"/>
      <c r="N141" s="9"/>
    </row>
    <row r="142" spans="1:31" ht="36" customHeight="1" thickBot="1">
      <c r="A142" s="7" t="s">
        <v>9</v>
      </c>
      <c r="B142" s="7">
        <f>B99</f>
        <v>0</v>
      </c>
      <c r="C142" s="9"/>
      <c r="D142" s="9"/>
      <c r="E142" s="7" t="s">
        <v>10</v>
      </c>
      <c r="F142" s="7">
        <f>F99</f>
        <v>0</v>
      </c>
      <c r="G142" s="9"/>
      <c r="H142" s="7" t="s">
        <v>11</v>
      </c>
      <c r="I142" s="56">
        <f>I99</f>
        <v>0</v>
      </c>
      <c r="J142" s="57"/>
      <c r="K142" s="57">
        <f>I99</f>
        <v>0</v>
      </c>
      <c r="L142" s="57"/>
      <c r="M142" s="57"/>
      <c r="N142" s="57"/>
      <c r="O142" s="58"/>
    </row>
    <row r="143" spans="1:31" ht="15.75" thickBo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1"/>
      <c r="L143" s="11"/>
      <c r="M143" s="11"/>
      <c r="N143" s="9"/>
    </row>
    <row r="144" spans="1:31" ht="24" customHeight="1" thickBot="1">
      <c r="A144" s="7" t="s">
        <v>12</v>
      </c>
      <c r="B144" s="12">
        <v>0.08</v>
      </c>
      <c r="C144" s="9"/>
      <c r="D144" s="9"/>
      <c r="E144" s="7" t="s">
        <v>13</v>
      </c>
      <c r="F144" s="12">
        <v>0</v>
      </c>
      <c r="G144" s="9"/>
      <c r="H144" s="87" t="s">
        <v>14</v>
      </c>
      <c r="I144" s="88"/>
      <c r="J144" s="89"/>
      <c r="K144" s="90">
        <f>L129</f>
        <v>0</v>
      </c>
      <c r="L144" s="91"/>
      <c r="M144" s="91"/>
      <c r="N144" s="91"/>
      <c r="O144" s="92"/>
      <c r="Q144" s="75" t="s">
        <v>99</v>
      </c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</row>
    <row r="145" spans="1:31" ht="15.75" thickBo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1"/>
      <c r="L145" s="11"/>
      <c r="M145" s="11"/>
      <c r="N145" s="9"/>
    </row>
    <row r="146" spans="1:31" ht="39.950000000000003" customHeight="1" thickBot="1">
      <c r="A146" s="81" t="s">
        <v>16</v>
      </c>
      <c r="B146" s="93" t="s">
        <v>17</v>
      </c>
      <c r="C146" s="94"/>
      <c r="D146" s="93" t="s">
        <v>18</v>
      </c>
      <c r="E146" s="94"/>
      <c r="F146" s="81" t="s">
        <v>19</v>
      </c>
      <c r="G146" s="81" t="s">
        <v>20</v>
      </c>
      <c r="H146" s="81" t="s">
        <v>21</v>
      </c>
      <c r="I146" s="81" t="s">
        <v>22</v>
      </c>
      <c r="J146" s="81" t="s">
        <v>23</v>
      </c>
      <c r="K146" s="83" t="s">
        <v>24</v>
      </c>
      <c r="L146" s="83" t="s">
        <v>25</v>
      </c>
      <c r="M146" s="83" t="s">
        <v>26</v>
      </c>
      <c r="N146" s="83" t="s">
        <v>27</v>
      </c>
      <c r="O146" s="85" t="s">
        <v>28</v>
      </c>
      <c r="Q146" s="75" t="s">
        <v>29</v>
      </c>
      <c r="R146" s="75" t="s">
        <v>30</v>
      </c>
      <c r="S146" s="75" t="s">
        <v>31</v>
      </c>
      <c r="T146" s="75" t="s">
        <v>32</v>
      </c>
      <c r="U146" s="75" t="s">
        <v>264</v>
      </c>
      <c r="V146" s="80" t="s">
        <v>33</v>
      </c>
      <c r="W146" s="80" t="s">
        <v>34</v>
      </c>
      <c r="X146" s="80" t="s">
        <v>35</v>
      </c>
      <c r="Y146" s="80" t="s">
        <v>36</v>
      </c>
      <c r="Z146" s="80" t="s">
        <v>37</v>
      </c>
      <c r="AA146" s="80" t="s">
        <v>38</v>
      </c>
      <c r="AB146" s="80" t="s">
        <v>39</v>
      </c>
      <c r="AC146" s="75" t="s">
        <v>40</v>
      </c>
      <c r="AD146" s="75" t="s">
        <v>41</v>
      </c>
      <c r="AE146" s="75" t="s">
        <v>42</v>
      </c>
    </row>
    <row r="147" spans="1:31" ht="39.950000000000003" customHeight="1" thickBot="1">
      <c r="A147" s="82"/>
      <c r="B147" s="7" t="s">
        <v>43</v>
      </c>
      <c r="C147" s="7" t="s">
        <v>44</v>
      </c>
      <c r="D147" s="7" t="s">
        <v>43</v>
      </c>
      <c r="E147" s="7" t="s">
        <v>44</v>
      </c>
      <c r="F147" s="82"/>
      <c r="G147" s="82"/>
      <c r="H147" s="82"/>
      <c r="I147" s="82"/>
      <c r="J147" s="82"/>
      <c r="K147" s="84"/>
      <c r="L147" s="84"/>
      <c r="M147" s="84"/>
      <c r="N147" s="84"/>
      <c r="O147" s="86"/>
      <c r="Q147" s="75"/>
      <c r="R147" s="75"/>
      <c r="S147" s="75"/>
      <c r="T147" s="75"/>
      <c r="U147" s="75"/>
      <c r="V147" s="80"/>
      <c r="W147" s="80"/>
      <c r="X147" s="80"/>
      <c r="Y147" s="80"/>
      <c r="Z147" s="80"/>
      <c r="AA147" s="80"/>
      <c r="AB147" s="80"/>
      <c r="AC147" s="75"/>
      <c r="AD147" s="75"/>
      <c r="AE147" s="75"/>
    </row>
    <row r="148" spans="1:31" ht="18" customHeight="1">
      <c r="A148" s="21" t="s">
        <v>100</v>
      </c>
      <c r="B148" s="22"/>
      <c r="C148" s="22"/>
      <c r="D148" s="22">
        <f>B148</f>
        <v>0</v>
      </c>
      <c r="E148" s="22">
        <f>C148</f>
        <v>0</v>
      </c>
      <c r="F148" s="22"/>
      <c r="G148" s="22">
        <f t="shared" ref="G148:G159" si="40">(B148+C148+F148)+(D148+E148)</f>
        <v>0</v>
      </c>
      <c r="H148" s="22"/>
      <c r="I148" s="22">
        <f>(K144+B148+C148+F148)-H148</f>
        <v>0</v>
      </c>
      <c r="J148" s="22">
        <f>(D148+E148)</f>
        <v>0</v>
      </c>
      <c r="K148" s="22">
        <f>(K144+G148)-H148</f>
        <v>0</v>
      </c>
      <c r="L148" s="22">
        <f>ROUND((I148*8/100)/12,0)</f>
        <v>0</v>
      </c>
      <c r="M148" s="22">
        <f>ROUND((J148*8/100)/12,0)</f>
        <v>0</v>
      </c>
      <c r="N148" s="22">
        <f>L148+M148</f>
        <v>0</v>
      </c>
      <c r="O148" s="98" t="s">
        <v>46</v>
      </c>
      <c r="Q148" s="18"/>
      <c r="R148" s="18"/>
      <c r="S148" s="18"/>
      <c r="T148" s="18"/>
      <c r="U148" s="18"/>
      <c r="V148" s="19"/>
      <c r="W148" s="19"/>
      <c r="X148" s="19"/>
      <c r="Y148" s="19">
        <f t="shared" ref="Y148:Y159" si="41">V148+W148+X148</f>
        <v>0</v>
      </c>
      <c r="Z148" s="19">
        <f t="shared" ref="Z148:Z159" si="42">ROUND(Y148*10%,0)</f>
        <v>0</v>
      </c>
      <c r="AA148" s="19"/>
      <c r="AB148" s="19">
        <f t="shared" ref="AB148:AB159" si="43">AA148-Z148</f>
        <v>0</v>
      </c>
      <c r="AC148" s="20">
        <v>39539</v>
      </c>
      <c r="AD148" s="20">
        <v>39568</v>
      </c>
      <c r="AE148" s="18"/>
    </row>
    <row r="149" spans="1:31" ht="18" customHeight="1">
      <c r="A149" s="21" t="s">
        <v>101</v>
      </c>
      <c r="B149" s="22"/>
      <c r="C149" s="22"/>
      <c r="D149" s="22">
        <f t="shared" ref="D149:E159" si="44">B149</f>
        <v>0</v>
      </c>
      <c r="E149" s="22">
        <f t="shared" si="44"/>
        <v>0</v>
      </c>
      <c r="F149" s="22"/>
      <c r="G149" s="22">
        <f t="shared" si="40"/>
        <v>0</v>
      </c>
      <c r="H149" s="22"/>
      <c r="I149" s="22">
        <f>(I148+B149+C149+F149)-H149</f>
        <v>0</v>
      </c>
      <c r="J149" s="22">
        <f>(J148+D149+E149)</f>
        <v>0</v>
      </c>
      <c r="K149" s="22">
        <f t="shared" ref="K149:K159" si="45">(K148+G149)-H149</f>
        <v>0</v>
      </c>
      <c r="L149" s="22">
        <f t="shared" ref="L149:M159" si="46">ROUND((I149*8/100)/12,0)</f>
        <v>0</v>
      </c>
      <c r="M149" s="22">
        <f t="shared" si="46"/>
        <v>0</v>
      </c>
      <c r="N149" s="22">
        <f t="shared" ref="N149:N159" si="47">L149+M149</f>
        <v>0</v>
      </c>
      <c r="O149" s="99"/>
      <c r="Q149" s="18"/>
      <c r="R149" s="18"/>
      <c r="S149" s="18"/>
      <c r="T149" s="18"/>
      <c r="U149" s="18"/>
      <c r="V149" s="19"/>
      <c r="W149" s="19"/>
      <c r="X149" s="19"/>
      <c r="Y149" s="19">
        <f t="shared" si="41"/>
        <v>0</v>
      </c>
      <c r="Z149" s="19">
        <f t="shared" si="42"/>
        <v>0</v>
      </c>
      <c r="AA149" s="19"/>
      <c r="AB149" s="19">
        <f t="shared" si="43"/>
        <v>0</v>
      </c>
      <c r="AC149" s="20">
        <v>39569</v>
      </c>
      <c r="AD149" s="20">
        <v>39599</v>
      </c>
      <c r="AE149" s="18"/>
    </row>
    <row r="150" spans="1:31" ht="18" customHeight="1">
      <c r="A150" s="21" t="s">
        <v>102</v>
      </c>
      <c r="B150" s="22"/>
      <c r="C150" s="22"/>
      <c r="D150" s="22">
        <f t="shared" si="44"/>
        <v>0</v>
      </c>
      <c r="E150" s="22">
        <f t="shared" si="44"/>
        <v>0</v>
      </c>
      <c r="F150" s="22"/>
      <c r="G150" s="22">
        <f t="shared" si="40"/>
        <v>0</v>
      </c>
      <c r="H150" s="22"/>
      <c r="I150" s="22">
        <f t="shared" ref="I150:I159" si="48">(I149+B150+C150+F150)-H150</f>
        <v>0</v>
      </c>
      <c r="J150" s="22">
        <f t="shared" ref="J150:J159" si="49">(J149+D150+E150)</f>
        <v>0</v>
      </c>
      <c r="K150" s="22">
        <f t="shared" si="45"/>
        <v>0</v>
      </c>
      <c r="L150" s="22">
        <f t="shared" si="46"/>
        <v>0</v>
      </c>
      <c r="M150" s="22">
        <f t="shared" si="46"/>
        <v>0</v>
      </c>
      <c r="N150" s="22">
        <f t="shared" si="47"/>
        <v>0</v>
      </c>
      <c r="O150" s="99"/>
      <c r="Q150" s="18"/>
      <c r="R150" s="18"/>
      <c r="S150" s="18"/>
      <c r="T150" s="18"/>
      <c r="U150" s="18"/>
      <c r="V150" s="19"/>
      <c r="W150" s="19"/>
      <c r="X150" s="19"/>
      <c r="Y150" s="19">
        <f t="shared" si="41"/>
        <v>0</v>
      </c>
      <c r="Z150" s="19">
        <f t="shared" si="42"/>
        <v>0</v>
      </c>
      <c r="AA150" s="19"/>
      <c r="AB150" s="19">
        <f t="shared" si="43"/>
        <v>0</v>
      </c>
      <c r="AC150" s="20">
        <v>39600</v>
      </c>
      <c r="AD150" s="20">
        <v>39629</v>
      </c>
      <c r="AE150" s="18"/>
    </row>
    <row r="151" spans="1:31" ht="18" customHeight="1">
      <c r="A151" s="21" t="s">
        <v>103</v>
      </c>
      <c r="B151" s="22"/>
      <c r="C151" s="22"/>
      <c r="D151" s="22">
        <f t="shared" si="44"/>
        <v>0</v>
      </c>
      <c r="E151" s="22">
        <f t="shared" si="44"/>
        <v>0</v>
      </c>
      <c r="F151" s="22"/>
      <c r="G151" s="22">
        <f t="shared" si="40"/>
        <v>0</v>
      </c>
      <c r="H151" s="22"/>
      <c r="I151" s="22">
        <f t="shared" si="48"/>
        <v>0</v>
      </c>
      <c r="J151" s="22">
        <f t="shared" si="49"/>
        <v>0</v>
      </c>
      <c r="K151" s="22">
        <f t="shared" si="45"/>
        <v>0</v>
      </c>
      <c r="L151" s="22">
        <f t="shared" si="46"/>
        <v>0</v>
      </c>
      <c r="M151" s="22">
        <f t="shared" si="46"/>
        <v>0</v>
      </c>
      <c r="N151" s="22">
        <f t="shared" si="47"/>
        <v>0</v>
      </c>
      <c r="O151" s="99"/>
      <c r="Q151" s="18"/>
      <c r="R151" s="18"/>
      <c r="S151" s="18"/>
      <c r="T151" s="18"/>
      <c r="U151" s="18"/>
      <c r="V151" s="19"/>
      <c r="W151" s="19"/>
      <c r="X151" s="19"/>
      <c r="Y151" s="19">
        <f t="shared" si="41"/>
        <v>0</v>
      </c>
      <c r="Z151" s="19">
        <f t="shared" si="42"/>
        <v>0</v>
      </c>
      <c r="AA151" s="19"/>
      <c r="AB151" s="19">
        <f t="shared" si="43"/>
        <v>0</v>
      </c>
      <c r="AC151" s="20">
        <v>39630</v>
      </c>
      <c r="AD151" s="20">
        <v>39660</v>
      </c>
      <c r="AE151" s="18"/>
    </row>
    <row r="152" spans="1:31" ht="18" customHeight="1">
      <c r="A152" s="21" t="s">
        <v>104</v>
      </c>
      <c r="B152" s="22"/>
      <c r="C152" s="22"/>
      <c r="D152" s="22">
        <f t="shared" si="44"/>
        <v>0</v>
      </c>
      <c r="E152" s="22">
        <f t="shared" si="44"/>
        <v>0</v>
      </c>
      <c r="F152" s="22"/>
      <c r="G152" s="22">
        <f t="shared" si="40"/>
        <v>0</v>
      </c>
      <c r="H152" s="22"/>
      <c r="I152" s="22">
        <f t="shared" si="48"/>
        <v>0</v>
      </c>
      <c r="J152" s="22">
        <f t="shared" si="49"/>
        <v>0</v>
      </c>
      <c r="K152" s="22">
        <f t="shared" si="45"/>
        <v>0</v>
      </c>
      <c r="L152" s="22">
        <f t="shared" si="46"/>
        <v>0</v>
      </c>
      <c r="M152" s="22">
        <f t="shared" si="46"/>
        <v>0</v>
      </c>
      <c r="N152" s="22">
        <f t="shared" si="47"/>
        <v>0</v>
      </c>
      <c r="O152" s="99"/>
      <c r="Q152" s="18"/>
      <c r="R152" s="18"/>
      <c r="S152" s="18"/>
      <c r="T152" s="18"/>
      <c r="U152" s="18"/>
      <c r="V152" s="19"/>
      <c r="W152" s="19"/>
      <c r="X152" s="19"/>
      <c r="Y152" s="19">
        <f t="shared" si="41"/>
        <v>0</v>
      </c>
      <c r="Z152" s="19">
        <f t="shared" si="42"/>
        <v>0</v>
      </c>
      <c r="AA152" s="19"/>
      <c r="AB152" s="19">
        <f t="shared" si="43"/>
        <v>0</v>
      </c>
      <c r="AC152" s="20">
        <v>39661</v>
      </c>
      <c r="AD152" s="20">
        <v>39691</v>
      </c>
      <c r="AE152" s="18"/>
    </row>
    <row r="153" spans="1:31" ht="18" customHeight="1">
      <c r="A153" s="21" t="s">
        <v>105</v>
      </c>
      <c r="B153" s="22"/>
      <c r="C153" s="22"/>
      <c r="D153" s="22">
        <f t="shared" si="44"/>
        <v>0</v>
      </c>
      <c r="E153" s="22">
        <f t="shared" si="44"/>
        <v>0</v>
      </c>
      <c r="F153" s="22"/>
      <c r="G153" s="22">
        <f t="shared" si="40"/>
        <v>0</v>
      </c>
      <c r="H153" s="22"/>
      <c r="I153" s="22">
        <f t="shared" si="48"/>
        <v>0</v>
      </c>
      <c r="J153" s="22">
        <f t="shared" si="49"/>
        <v>0</v>
      </c>
      <c r="K153" s="22">
        <f t="shared" si="45"/>
        <v>0</v>
      </c>
      <c r="L153" s="22">
        <f t="shared" si="46"/>
        <v>0</v>
      </c>
      <c r="M153" s="22">
        <f t="shared" si="46"/>
        <v>0</v>
      </c>
      <c r="N153" s="22">
        <f t="shared" si="47"/>
        <v>0</v>
      </c>
      <c r="O153" s="99"/>
      <c r="Q153" s="18"/>
      <c r="R153" s="18"/>
      <c r="S153" s="18"/>
      <c r="T153" s="18"/>
      <c r="U153" s="18"/>
      <c r="V153" s="19"/>
      <c r="W153" s="19"/>
      <c r="X153" s="19"/>
      <c r="Y153" s="19">
        <f t="shared" si="41"/>
        <v>0</v>
      </c>
      <c r="Z153" s="19">
        <f t="shared" si="42"/>
        <v>0</v>
      </c>
      <c r="AA153" s="19"/>
      <c r="AB153" s="19">
        <f t="shared" si="43"/>
        <v>0</v>
      </c>
      <c r="AC153" s="20">
        <v>39692</v>
      </c>
      <c r="AD153" s="20">
        <v>39721</v>
      </c>
      <c r="AE153" s="18"/>
    </row>
    <row r="154" spans="1:31" ht="18" customHeight="1">
      <c r="A154" s="21" t="s">
        <v>106</v>
      </c>
      <c r="B154" s="22"/>
      <c r="C154" s="22"/>
      <c r="D154" s="22">
        <f t="shared" si="44"/>
        <v>0</v>
      </c>
      <c r="E154" s="22">
        <f t="shared" si="44"/>
        <v>0</v>
      </c>
      <c r="F154" s="22"/>
      <c r="G154" s="22">
        <f t="shared" si="40"/>
        <v>0</v>
      </c>
      <c r="H154" s="22"/>
      <c r="I154" s="22">
        <f t="shared" si="48"/>
        <v>0</v>
      </c>
      <c r="J154" s="22">
        <f t="shared" si="49"/>
        <v>0</v>
      </c>
      <c r="K154" s="22">
        <f t="shared" si="45"/>
        <v>0</v>
      </c>
      <c r="L154" s="22">
        <f t="shared" si="46"/>
        <v>0</v>
      </c>
      <c r="M154" s="22">
        <f t="shared" si="46"/>
        <v>0</v>
      </c>
      <c r="N154" s="22">
        <f t="shared" si="47"/>
        <v>0</v>
      </c>
      <c r="O154" s="99"/>
      <c r="Q154" s="18"/>
      <c r="R154" s="18"/>
      <c r="S154" s="18"/>
      <c r="T154" s="18"/>
      <c r="U154" s="18"/>
      <c r="V154" s="19"/>
      <c r="W154" s="19"/>
      <c r="X154" s="19"/>
      <c r="Y154" s="19">
        <f t="shared" si="41"/>
        <v>0</v>
      </c>
      <c r="Z154" s="19">
        <f t="shared" si="42"/>
        <v>0</v>
      </c>
      <c r="AA154" s="19"/>
      <c r="AB154" s="19">
        <f t="shared" si="43"/>
        <v>0</v>
      </c>
      <c r="AC154" s="20">
        <v>39722</v>
      </c>
      <c r="AD154" s="20">
        <v>39752</v>
      </c>
      <c r="AE154" s="18"/>
    </row>
    <row r="155" spans="1:31" ht="18" customHeight="1">
      <c r="A155" s="21" t="s">
        <v>107</v>
      </c>
      <c r="B155" s="22"/>
      <c r="C155" s="22"/>
      <c r="D155" s="22">
        <f t="shared" si="44"/>
        <v>0</v>
      </c>
      <c r="E155" s="22">
        <f t="shared" si="44"/>
        <v>0</v>
      </c>
      <c r="F155" s="22"/>
      <c r="G155" s="22">
        <f t="shared" si="40"/>
        <v>0</v>
      </c>
      <c r="H155" s="22"/>
      <c r="I155" s="22">
        <f t="shared" si="48"/>
        <v>0</v>
      </c>
      <c r="J155" s="22">
        <f t="shared" si="49"/>
        <v>0</v>
      </c>
      <c r="K155" s="22">
        <f t="shared" si="45"/>
        <v>0</v>
      </c>
      <c r="L155" s="22">
        <f t="shared" si="46"/>
        <v>0</v>
      </c>
      <c r="M155" s="22">
        <f t="shared" si="46"/>
        <v>0</v>
      </c>
      <c r="N155" s="22">
        <f t="shared" si="47"/>
        <v>0</v>
      </c>
      <c r="O155" s="99"/>
      <c r="Q155" s="18"/>
      <c r="R155" s="18"/>
      <c r="S155" s="18"/>
      <c r="T155" s="18"/>
      <c r="U155" s="18"/>
      <c r="V155" s="19"/>
      <c r="W155" s="19"/>
      <c r="X155" s="19"/>
      <c r="Y155" s="19">
        <f t="shared" si="41"/>
        <v>0</v>
      </c>
      <c r="Z155" s="19">
        <f t="shared" si="42"/>
        <v>0</v>
      </c>
      <c r="AA155" s="19"/>
      <c r="AB155" s="19">
        <f t="shared" si="43"/>
        <v>0</v>
      </c>
      <c r="AC155" s="20">
        <v>39753</v>
      </c>
      <c r="AD155" s="20">
        <v>39782</v>
      </c>
      <c r="AE155" s="18"/>
    </row>
    <row r="156" spans="1:31" ht="18" customHeight="1">
      <c r="A156" s="21" t="s">
        <v>108</v>
      </c>
      <c r="B156" s="22"/>
      <c r="C156" s="22"/>
      <c r="D156" s="22">
        <f t="shared" si="44"/>
        <v>0</v>
      </c>
      <c r="E156" s="22">
        <f t="shared" si="44"/>
        <v>0</v>
      </c>
      <c r="F156" s="22"/>
      <c r="G156" s="22">
        <f t="shared" si="40"/>
        <v>0</v>
      </c>
      <c r="H156" s="22"/>
      <c r="I156" s="22">
        <f t="shared" si="48"/>
        <v>0</v>
      </c>
      <c r="J156" s="22">
        <f t="shared" si="49"/>
        <v>0</v>
      </c>
      <c r="K156" s="22">
        <f t="shared" si="45"/>
        <v>0</v>
      </c>
      <c r="L156" s="22">
        <f t="shared" si="46"/>
        <v>0</v>
      </c>
      <c r="M156" s="22">
        <f t="shared" si="46"/>
        <v>0</v>
      </c>
      <c r="N156" s="22">
        <f t="shared" si="47"/>
        <v>0</v>
      </c>
      <c r="O156" s="99"/>
      <c r="Q156" s="18"/>
      <c r="R156" s="18"/>
      <c r="S156" s="18"/>
      <c r="T156" s="18"/>
      <c r="U156" s="18"/>
      <c r="V156" s="19"/>
      <c r="W156" s="19"/>
      <c r="X156" s="19"/>
      <c r="Y156" s="19">
        <f t="shared" si="41"/>
        <v>0</v>
      </c>
      <c r="Z156" s="19">
        <f t="shared" si="42"/>
        <v>0</v>
      </c>
      <c r="AA156" s="19"/>
      <c r="AB156" s="19">
        <f t="shared" si="43"/>
        <v>0</v>
      </c>
      <c r="AC156" s="20">
        <v>39783</v>
      </c>
      <c r="AD156" s="20">
        <v>39813</v>
      </c>
      <c r="AE156" s="18"/>
    </row>
    <row r="157" spans="1:31" ht="18" customHeight="1">
      <c r="A157" s="21" t="s">
        <v>109</v>
      </c>
      <c r="B157" s="22"/>
      <c r="C157" s="22"/>
      <c r="D157" s="22">
        <f t="shared" si="44"/>
        <v>0</v>
      </c>
      <c r="E157" s="22">
        <f t="shared" si="44"/>
        <v>0</v>
      </c>
      <c r="F157" s="22"/>
      <c r="G157" s="22">
        <f t="shared" si="40"/>
        <v>0</v>
      </c>
      <c r="H157" s="22"/>
      <c r="I157" s="22">
        <f t="shared" si="48"/>
        <v>0</v>
      </c>
      <c r="J157" s="22">
        <f t="shared" si="49"/>
        <v>0</v>
      </c>
      <c r="K157" s="22">
        <f t="shared" si="45"/>
        <v>0</v>
      </c>
      <c r="L157" s="22">
        <f t="shared" si="46"/>
        <v>0</v>
      </c>
      <c r="M157" s="22">
        <f t="shared" si="46"/>
        <v>0</v>
      </c>
      <c r="N157" s="22">
        <f t="shared" si="47"/>
        <v>0</v>
      </c>
      <c r="O157" s="99"/>
      <c r="Q157" s="18"/>
      <c r="R157" s="18"/>
      <c r="S157" s="18"/>
      <c r="T157" s="18"/>
      <c r="U157" s="18"/>
      <c r="V157" s="19"/>
      <c r="W157" s="19"/>
      <c r="X157" s="19"/>
      <c r="Y157" s="19">
        <f t="shared" si="41"/>
        <v>0</v>
      </c>
      <c r="Z157" s="19">
        <f t="shared" si="42"/>
        <v>0</v>
      </c>
      <c r="AA157" s="19"/>
      <c r="AB157" s="19">
        <f t="shared" si="43"/>
        <v>0</v>
      </c>
      <c r="AC157" s="20">
        <v>39814</v>
      </c>
      <c r="AD157" s="20">
        <v>39844</v>
      </c>
      <c r="AE157" s="18"/>
    </row>
    <row r="158" spans="1:31" ht="18" customHeight="1">
      <c r="A158" s="21" t="s">
        <v>110</v>
      </c>
      <c r="B158" s="22"/>
      <c r="C158" s="22"/>
      <c r="D158" s="22">
        <f t="shared" si="44"/>
        <v>0</v>
      </c>
      <c r="E158" s="22">
        <f t="shared" si="44"/>
        <v>0</v>
      </c>
      <c r="F158" s="22"/>
      <c r="G158" s="22">
        <f t="shared" si="40"/>
        <v>0</v>
      </c>
      <c r="H158" s="22"/>
      <c r="I158" s="22">
        <f t="shared" si="48"/>
        <v>0</v>
      </c>
      <c r="J158" s="22">
        <f t="shared" si="49"/>
        <v>0</v>
      </c>
      <c r="K158" s="22">
        <f t="shared" si="45"/>
        <v>0</v>
      </c>
      <c r="L158" s="22">
        <f t="shared" si="46"/>
        <v>0</v>
      </c>
      <c r="M158" s="22">
        <f t="shared" si="46"/>
        <v>0</v>
      </c>
      <c r="N158" s="22">
        <f t="shared" si="47"/>
        <v>0</v>
      </c>
      <c r="O158" s="99"/>
      <c r="Q158" s="18"/>
      <c r="R158" s="18"/>
      <c r="S158" s="18"/>
      <c r="T158" s="18"/>
      <c r="U158" s="18"/>
      <c r="V158" s="19"/>
      <c r="W158" s="19"/>
      <c r="X158" s="19"/>
      <c r="Y158" s="19">
        <f t="shared" si="41"/>
        <v>0</v>
      </c>
      <c r="Z158" s="19">
        <f t="shared" si="42"/>
        <v>0</v>
      </c>
      <c r="AA158" s="19"/>
      <c r="AB158" s="19">
        <f t="shared" si="43"/>
        <v>0</v>
      </c>
      <c r="AC158" s="20">
        <v>39845</v>
      </c>
      <c r="AD158" s="20">
        <v>39872</v>
      </c>
      <c r="AE158" s="18"/>
    </row>
    <row r="159" spans="1:31" ht="18" customHeight="1" thickBot="1">
      <c r="A159" s="23" t="s">
        <v>111</v>
      </c>
      <c r="B159" s="24"/>
      <c r="C159" s="24"/>
      <c r="D159" s="24">
        <f t="shared" si="44"/>
        <v>0</v>
      </c>
      <c r="E159" s="24">
        <f t="shared" si="44"/>
        <v>0</v>
      </c>
      <c r="F159" s="24"/>
      <c r="G159" s="24">
        <f t="shared" si="40"/>
        <v>0</v>
      </c>
      <c r="H159" s="24"/>
      <c r="I159" s="24">
        <f t="shared" si="48"/>
        <v>0</v>
      </c>
      <c r="J159" s="24">
        <f t="shared" si="49"/>
        <v>0</v>
      </c>
      <c r="K159" s="24">
        <f t="shared" si="45"/>
        <v>0</v>
      </c>
      <c r="L159" s="24">
        <f t="shared" si="46"/>
        <v>0</v>
      </c>
      <c r="M159" s="24">
        <f t="shared" si="46"/>
        <v>0</v>
      </c>
      <c r="N159" s="24">
        <f t="shared" si="47"/>
        <v>0</v>
      </c>
      <c r="O159" s="99"/>
      <c r="Q159" s="18"/>
      <c r="R159" s="18"/>
      <c r="S159" s="18"/>
      <c r="T159" s="18"/>
      <c r="U159" s="18"/>
      <c r="V159" s="19"/>
      <c r="W159" s="19"/>
      <c r="X159" s="19"/>
      <c r="Y159" s="19">
        <f t="shared" si="41"/>
        <v>0</v>
      </c>
      <c r="Z159" s="19">
        <f t="shared" si="42"/>
        <v>0</v>
      </c>
      <c r="AA159" s="19"/>
      <c r="AB159" s="19">
        <f t="shared" si="43"/>
        <v>0</v>
      </c>
      <c r="AC159" s="20">
        <v>39873</v>
      </c>
      <c r="AD159" s="20">
        <v>39903</v>
      </c>
      <c r="AE159" s="18"/>
    </row>
    <row r="160" spans="1:31" ht="18" customHeight="1" thickBot="1">
      <c r="A160" s="7" t="s">
        <v>112</v>
      </c>
      <c r="B160" s="25">
        <f t="shared" ref="B160:N160" si="50">SUM(B148:B159)</f>
        <v>0</v>
      </c>
      <c r="C160" s="25">
        <f t="shared" si="50"/>
        <v>0</v>
      </c>
      <c r="D160" s="25">
        <f t="shared" si="50"/>
        <v>0</v>
      </c>
      <c r="E160" s="25">
        <f t="shared" si="50"/>
        <v>0</v>
      </c>
      <c r="F160" s="25">
        <f t="shared" si="50"/>
        <v>0</v>
      </c>
      <c r="G160" s="25">
        <f t="shared" si="50"/>
        <v>0</v>
      </c>
      <c r="H160" s="25">
        <f t="shared" si="50"/>
        <v>0</v>
      </c>
      <c r="I160" s="25">
        <f t="shared" si="50"/>
        <v>0</v>
      </c>
      <c r="J160" s="25">
        <f t="shared" si="50"/>
        <v>0</v>
      </c>
      <c r="K160" s="25">
        <f>SUM(K148:K159)</f>
        <v>0</v>
      </c>
      <c r="L160" s="25">
        <f>SUM(L148:L159)</f>
        <v>0</v>
      </c>
      <c r="M160" s="25">
        <f>SUM(M148:M159)</f>
        <v>0</v>
      </c>
      <c r="N160" s="25">
        <f t="shared" si="50"/>
        <v>0</v>
      </c>
      <c r="O160" s="26"/>
      <c r="Q160" s="77" t="s">
        <v>36</v>
      </c>
      <c r="R160" s="78"/>
      <c r="S160" s="78"/>
      <c r="T160" s="79"/>
      <c r="U160" s="27"/>
      <c r="V160" s="28">
        <f t="shared" ref="V160:AB160" si="51">SUM(V148:V159)</f>
        <v>0</v>
      </c>
      <c r="W160" s="28">
        <f t="shared" si="51"/>
        <v>0</v>
      </c>
      <c r="X160" s="28">
        <f t="shared" si="51"/>
        <v>0</v>
      </c>
      <c r="Y160" s="28">
        <f t="shared" si="51"/>
        <v>0</v>
      </c>
      <c r="Z160" s="28">
        <f t="shared" si="51"/>
        <v>0</v>
      </c>
      <c r="AA160" s="28">
        <f t="shared" si="51"/>
        <v>0</v>
      </c>
      <c r="AB160" s="28">
        <f t="shared" si="51"/>
        <v>0</v>
      </c>
      <c r="AC160" s="18"/>
      <c r="AD160" s="18"/>
      <c r="AE160" s="18"/>
    </row>
    <row r="161" spans="1:28" ht="15.75" thickBo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11"/>
      <c r="L161" s="11"/>
      <c r="M161" s="11"/>
      <c r="N161" s="11"/>
    </row>
    <row r="162" spans="1:28" ht="18" customHeight="1" thickBot="1">
      <c r="A162" s="9"/>
      <c r="B162" s="11"/>
      <c r="C162" s="11"/>
      <c r="D162" s="11"/>
      <c r="E162" s="9"/>
      <c r="F162" s="8">
        <v>1</v>
      </c>
      <c r="G162" s="57" t="s">
        <v>59</v>
      </c>
      <c r="H162" s="57"/>
      <c r="I162" s="57"/>
      <c r="J162" s="57"/>
      <c r="K162" s="58"/>
      <c r="L162" s="25">
        <f>K144</f>
        <v>0</v>
      </c>
      <c r="M162" s="5"/>
      <c r="O162" s="1"/>
      <c r="S162" s="29"/>
      <c r="T162" s="29"/>
      <c r="U162" s="29"/>
      <c r="AA162" s="15"/>
      <c r="AB162" s="15"/>
    </row>
    <row r="163" spans="1:28" ht="18" customHeight="1" thickBot="1">
      <c r="A163" s="9"/>
      <c r="B163" s="11"/>
      <c r="C163" s="11"/>
      <c r="D163" s="11"/>
      <c r="E163" s="9"/>
      <c r="F163" s="8">
        <v>2</v>
      </c>
      <c r="G163" s="57" t="s">
        <v>60</v>
      </c>
      <c r="H163" s="57"/>
      <c r="I163" s="57"/>
      <c r="J163" s="57"/>
      <c r="K163" s="58"/>
      <c r="L163" s="25">
        <f>B160+C160</f>
        <v>0</v>
      </c>
      <c r="M163" s="5"/>
      <c r="O163" s="1"/>
      <c r="S163" s="29"/>
      <c r="T163" s="29"/>
      <c r="U163" s="29"/>
      <c r="AA163" s="15"/>
      <c r="AB163" s="15"/>
    </row>
    <row r="164" spans="1:28" ht="18" customHeight="1" thickBot="1">
      <c r="A164" s="9"/>
      <c r="B164" s="11"/>
      <c r="C164" s="11"/>
      <c r="D164" s="11"/>
      <c r="E164" s="9"/>
      <c r="F164" s="8">
        <v>3</v>
      </c>
      <c r="G164" s="57" t="s">
        <v>113</v>
      </c>
      <c r="H164" s="57"/>
      <c r="I164" s="57"/>
      <c r="J164" s="57"/>
      <c r="K164" s="58"/>
      <c r="L164" s="25">
        <f>F160</f>
        <v>0</v>
      </c>
      <c r="M164" s="5"/>
      <c r="O164" s="1"/>
      <c r="S164" s="29"/>
      <c r="T164" s="29"/>
      <c r="U164" s="29"/>
      <c r="AA164" s="15"/>
      <c r="AB164" s="15"/>
    </row>
    <row r="165" spans="1:28" ht="18" customHeight="1" thickBot="1">
      <c r="A165" s="9"/>
      <c r="B165" s="9"/>
      <c r="C165" s="9"/>
      <c r="D165" s="9"/>
      <c r="E165" s="9"/>
      <c r="F165" s="8">
        <v>4</v>
      </c>
      <c r="G165" s="57" t="s">
        <v>62</v>
      </c>
      <c r="H165" s="57"/>
      <c r="I165" s="57"/>
      <c r="J165" s="57"/>
      <c r="K165" s="58"/>
      <c r="L165" s="25">
        <f>L163+L164</f>
        <v>0</v>
      </c>
      <c r="M165" s="5"/>
      <c r="O165" s="1"/>
      <c r="S165" s="29"/>
      <c r="T165" s="29"/>
      <c r="U165" s="29"/>
      <c r="AA165" s="15"/>
      <c r="AB165" s="15"/>
    </row>
    <row r="166" spans="1:28" ht="18" customHeight="1" thickBot="1">
      <c r="A166" s="9"/>
      <c r="B166" s="9"/>
      <c r="C166" s="9"/>
      <c r="D166" s="9"/>
      <c r="E166" s="9"/>
      <c r="F166" s="8">
        <v>5</v>
      </c>
      <c r="G166" s="57" t="s">
        <v>18</v>
      </c>
      <c r="H166" s="57"/>
      <c r="I166" s="57"/>
      <c r="J166" s="57"/>
      <c r="K166" s="58"/>
      <c r="L166" s="25">
        <f>D160+E160</f>
        <v>0</v>
      </c>
      <c r="M166" s="5"/>
      <c r="O166" s="1"/>
      <c r="S166" s="29"/>
      <c r="T166" s="29"/>
      <c r="U166" s="29"/>
      <c r="AA166" s="15"/>
      <c r="AB166" s="15"/>
    </row>
    <row r="167" spans="1:28" ht="18" customHeight="1" thickBot="1">
      <c r="A167" s="9"/>
      <c r="B167" s="9"/>
      <c r="C167" s="9"/>
      <c r="D167" s="9"/>
      <c r="E167" s="9"/>
      <c r="F167" s="8">
        <v>6</v>
      </c>
      <c r="G167" s="57" t="s">
        <v>63</v>
      </c>
      <c r="H167" s="57"/>
      <c r="I167" s="57"/>
      <c r="J167" s="57"/>
      <c r="K167" s="58"/>
      <c r="L167" s="25">
        <f>L162+L165+L166</f>
        <v>0</v>
      </c>
      <c r="M167" s="5"/>
      <c r="O167" s="1"/>
      <c r="S167" s="29"/>
      <c r="T167" s="29"/>
      <c r="U167" s="29"/>
      <c r="AA167" s="15"/>
      <c r="AB167" s="15"/>
    </row>
    <row r="168" spans="1:28" ht="18" customHeight="1" thickBot="1">
      <c r="A168" s="9"/>
      <c r="B168" s="9"/>
      <c r="C168" s="9"/>
      <c r="D168" s="9"/>
      <c r="E168" s="9"/>
      <c r="F168" s="8">
        <v>7</v>
      </c>
      <c r="G168" s="57" t="s">
        <v>64</v>
      </c>
      <c r="H168" s="57"/>
      <c r="I168" s="57"/>
      <c r="J168" s="57"/>
      <c r="K168" s="58"/>
      <c r="L168" s="25">
        <f>H160</f>
        <v>0</v>
      </c>
      <c r="M168" s="5"/>
      <c r="O168" s="1"/>
      <c r="S168" s="29"/>
      <c r="T168" s="29"/>
      <c r="U168" s="29"/>
      <c r="AA168" s="15"/>
      <c r="AB168" s="15"/>
    </row>
    <row r="169" spans="1:28" ht="18" customHeight="1" thickBot="1">
      <c r="A169" s="9"/>
      <c r="B169" s="9"/>
      <c r="C169" s="9"/>
      <c r="D169" s="9"/>
      <c r="E169" s="9"/>
      <c r="F169" s="8">
        <v>8</v>
      </c>
      <c r="G169" s="57" t="s">
        <v>25</v>
      </c>
      <c r="H169" s="57"/>
      <c r="I169" s="57"/>
      <c r="J169" s="57"/>
      <c r="K169" s="58"/>
      <c r="L169" s="25">
        <f>L160</f>
        <v>0</v>
      </c>
      <c r="M169" s="5"/>
      <c r="O169" s="1"/>
      <c r="S169" s="29"/>
      <c r="T169" s="29"/>
      <c r="U169" s="29"/>
      <c r="AA169" s="15"/>
      <c r="AB169" s="15"/>
    </row>
    <row r="170" spans="1:28" ht="18" customHeight="1" thickBot="1">
      <c r="A170" s="9"/>
      <c r="B170" s="9"/>
      <c r="C170" s="9"/>
      <c r="D170" s="9"/>
      <c r="E170" s="9"/>
      <c r="F170" s="8">
        <v>9</v>
      </c>
      <c r="G170" s="57" t="s">
        <v>26</v>
      </c>
      <c r="H170" s="57"/>
      <c r="I170" s="57"/>
      <c r="J170" s="57"/>
      <c r="K170" s="58"/>
      <c r="L170" s="25">
        <f>M160</f>
        <v>0</v>
      </c>
      <c r="M170" s="5"/>
      <c r="O170" s="1"/>
      <c r="S170" s="29"/>
      <c r="T170" s="29"/>
      <c r="U170" s="29"/>
      <c r="AA170" s="15"/>
      <c r="AB170" s="15"/>
    </row>
    <row r="171" spans="1:28" ht="18" customHeight="1" thickBot="1">
      <c r="A171" s="9"/>
      <c r="B171" s="9"/>
      <c r="C171" s="9"/>
      <c r="D171" s="9"/>
      <c r="E171" s="9"/>
      <c r="F171" s="8">
        <v>10</v>
      </c>
      <c r="G171" s="57" t="s">
        <v>65</v>
      </c>
      <c r="H171" s="57"/>
      <c r="I171" s="57"/>
      <c r="J171" s="57"/>
      <c r="K171" s="58"/>
      <c r="L171" s="25">
        <f>N160</f>
        <v>0</v>
      </c>
      <c r="M171" s="5"/>
      <c r="O171" s="1"/>
      <c r="S171" s="29"/>
      <c r="T171" s="29"/>
      <c r="U171" s="29"/>
      <c r="AA171" s="15"/>
      <c r="AB171" s="15"/>
    </row>
    <row r="172" spans="1:28" ht="18" customHeight="1" thickBot="1">
      <c r="A172" s="9"/>
      <c r="B172" s="9"/>
      <c r="C172" s="9"/>
      <c r="D172" s="9"/>
      <c r="E172" s="9"/>
      <c r="F172" s="8">
        <v>11</v>
      </c>
      <c r="G172" s="57" t="s">
        <v>114</v>
      </c>
      <c r="H172" s="57"/>
      <c r="I172" s="57"/>
      <c r="J172" s="57"/>
      <c r="K172" s="58"/>
      <c r="L172" s="25">
        <f>L167-L168+L171</f>
        <v>0</v>
      </c>
      <c r="M172" s="5"/>
      <c r="O172" s="1"/>
      <c r="S172" s="29"/>
      <c r="T172" s="29"/>
      <c r="U172" s="29"/>
      <c r="AA172" s="15"/>
      <c r="AB172" s="15"/>
    </row>
    <row r="173" spans="1:28">
      <c r="A173" s="9"/>
      <c r="B173" s="9"/>
      <c r="C173" s="9"/>
      <c r="D173" s="9"/>
      <c r="E173" s="9"/>
      <c r="F173" s="9"/>
      <c r="G173" s="30"/>
      <c r="H173" s="30"/>
      <c r="I173" s="30"/>
      <c r="J173" s="30"/>
      <c r="K173" s="30"/>
      <c r="L173" s="30"/>
      <c r="M173" s="30"/>
      <c r="N173" s="11"/>
    </row>
    <row r="174" spans="1:28"/>
    <row r="175" spans="1:28"/>
    <row r="176" spans="1:28" ht="18">
      <c r="A176" s="73" t="s">
        <v>2</v>
      </c>
      <c r="B176" s="73"/>
      <c r="C176" s="3"/>
      <c r="D176" s="3"/>
      <c r="E176" s="73" t="s">
        <v>3</v>
      </c>
      <c r="F176" s="73"/>
      <c r="G176" s="73"/>
      <c r="H176" s="74" t="s">
        <v>4</v>
      </c>
      <c r="I176" s="74"/>
      <c r="J176" s="74"/>
      <c r="K176" s="74"/>
      <c r="L176" s="74"/>
      <c r="M176" s="74"/>
      <c r="N176" s="74"/>
    </row>
    <row r="177" spans="1:31" ht="18">
      <c r="A177" s="3"/>
      <c r="B177" s="3"/>
      <c r="C177" s="3"/>
      <c r="D177" s="3"/>
      <c r="E177" s="3"/>
      <c r="F177" s="3"/>
      <c r="G177" s="4"/>
      <c r="H177" s="4"/>
      <c r="I177" s="4"/>
      <c r="J177" s="4"/>
    </row>
    <row r="178" spans="1:31" ht="18">
      <c r="A178" s="3"/>
      <c r="B178" s="3"/>
      <c r="C178" s="3"/>
      <c r="D178" s="3"/>
      <c r="E178" s="3"/>
      <c r="F178" s="3"/>
      <c r="G178" s="4"/>
      <c r="H178" s="4"/>
      <c r="I178" s="4"/>
      <c r="J178" s="4"/>
    </row>
    <row r="179" spans="1:31" ht="18.75">
      <c r="A179" s="67" t="s">
        <v>0</v>
      </c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</row>
    <row r="180" spans="1:31" ht="18.75">
      <c r="A180" s="67" t="s">
        <v>1</v>
      </c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</row>
    <row r="181" spans="1:31"/>
    <row r="182" spans="1:31" ht="15.75" thickBot="1">
      <c r="A182" s="95" t="s">
        <v>115</v>
      </c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</row>
    <row r="183" spans="1:31" ht="36" customHeight="1" thickBot="1">
      <c r="A183" s="7" t="s">
        <v>7</v>
      </c>
      <c r="B183" s="8">
        <f>B140</f>
        <v>0</v>
      </c>
      <c r="C183" s="9"/>
      <c r="D183" s="9"/>
      <c r="E183" s="56" t="s">
        <v>8</v>
      </c>
      <c r="F183" s="58">
        <f>F140</f>
        <v>0</v>
      </c>
      <c r="G183" s="9"/>
      <c r="H183" s="56">
        <f>H140</f>
        <v>0</v>
      </c>
      <c r="I183" s="57"/>
      <c r="J183" s="57"/>
      <c r="K183" s="57"/>
      <c r="L183" s="57"/>
      <c r="M183" s="57"/>
      <c r="N183" s="57"/>
      <c r="O183" s="58"/>
    </row>
    <row r="184" spans="1:31" ht="15.75" thickBot="1">
      <c r="A184" s="9"/>
      <c r="E184" s="9"/>
      <c r="F184" s="9"/>
      <c r="G184" s="9"/>
      <c r="H184" s="9"/>
      <c r="I184" s="9"/>
      <c r="J184" s="9"/>
      <c r="K184" s="11"/>
      <c r="L184" s="11"/>
      <c r="M184" s="11"/>
      <c r="N184" s="9"/>
    </row>
    <row r="185" spans="1:31" ht="36" customHeight="1" thickBot="1">
      <c r="A185" s="7" t="s">
        <v>9</v>
      </c>
      <c r="B185" s="7">
        <f>B142</f>
        <v>0</v>
      </c>
      <c r="C185" s="9"/>
      <c r="D185" s="9"/>
      <c r="E185" s="7" t="s">
        <v>10</v>
      </c>
      <c r="F185" s="7">
        <f>F142</f>
        <v>0</v>
      </c>
      <c r="G185" s="9"/>
      <c r="H185" s="7" t="s">
        <v>11</v>
      </c>
      <c r="I185" s="56">
        <f>I142</f>
        <v>0</v>
      </c>
      <c r="J185" s="57"/>
      <c r="K185" s="57">
        <f>K142</f>
        <v>0</v>
      </c>
      <c r="L185" s="57"/>
      <c r="M185" s="57"/>
      <c r="N185" s="57"/>
      <c r="O185" s="58"/>
    </row>
    <row r="186" spans="1:31" ht="15.75" thickBo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11"/>
      <c r="L186" s="11"/>
      <c r="M186" s="11"/>
      <c r="N186" s="9"/>
    </row>
    <row r="187" spans="1:31" ht="24" customHeight="1" thickBot="1">
      <c r="A187" s="7" t="s">
        <v>12</v>
      </c>
      <c r="B187" s="12">
        <v>0.08</v>
      </c>
      <c r="C187" s="9"/>
      <c r="D187" s="9"/>
      <c r="E187" s="7" t="s">
        <v>13</v>
      </c>
      <c r="F187" s="12">
        <v>0</v>
      </c>
      <c r="G187" s="9"/>
      <c r="H187" s="87" t="s">
        <v>14</v>
      </c>
      <c r="I187" s="88"/>
      <c r="J187" s="89"/>
      <c r="K187" s="90">
        <f>L172</f>
        <v>0</v>
      </c>
      <c r="L187" s="91"/>
      <c r="M187" s="91"/>
      <c r="N187" s="91"/>
      <c r="O187" s="92"/>
      <c r="Q187" s="75" t="s">
        <v>115</v>
      </c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</row>
    <row r="188" spans="1:31" ht="15.75" thickBo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11"/>
      <c r="L188" s="11"/>
      <c r="M188" s="11"/>
      <c r="N188" s="9"/>
    </row>
    <row r="189" spans="1:31" ht="39.950000000000003" customHeight="1" thickBot="1">
      <c r="A189" s="81" t="s">
        <v>16</v>
      </c>
      <c r="B189" s="93" t="s">
        <v>17</v>
      </c>
      <c r="C189" s="94"/>
      <c r="D189" s="93" t="s">
        <v>18</v>
      </c>
      <c r="E189" s="94"/>
      <c r="F189" s="81" t="s">
        <v>19</v>
      </c>
      <c r="G189" s="81" t="s">
        <v>20</v>
      </c>
      <c r="H189" s="81" t="s">
        <v>21</v>
      </c>
      <c r="I189" s="81" t="s">
        <v>22</v>
      </c>
      <c r="J189" s="81" t="s">
        <v>23</v>
      </c>
      <c r="K189" s="83" t="s">
        <v>24</v>
      </c>
      <c r="L189" s="83" t="s">
        <v>25</v>
      </c>
      <c r="M189" s="83" t="s">
        <v>26</v>
      </c>
      <c r="N189" s="83" t="s">
        <v>27</v>
      </c>
      <c r="O189" s="85" t="s">
        <v>28</v>
      </c>
      <c r="Q189" s="75" t="s">
        <v>29</v>
      </c>
      <c r="R189" s="75" t="s">
        <v>30</v>
      </c>
      <c r="S189" s="75" t="s">
        <v>31</v>
      </c>
      <c r="T189" s="75" t="s">
        <v>32</v>
      </c>
      <c r="U189" s="75" t="s">
        <v>264</v>
      </c>
      <c r="V189" s="80" t="s">
        <v>33</v>
      </c>
      <c r="W189" s="80" t="s">
        <v>34</v>
      </c>
      <c r="X189" s="80" t="s">
        <v>35</v>
      </c>
      <c r="Y189" s="80" t="s">
        <v>36</v>
      </c>
      <c r="Z189" s="80" t="s">
        <v>37</v>
      </c>
      <c r="AA189" s="80" t="s">
        <v>38</v>
      </c>
      <c r="AB189" s="80" t="s">
        <v>39</v>
      </c>
      <c r="AC189" s="75" t="s">
        <v>40</v>
      </c>
      <c r="AD189" s="75" t="s">
        <v>41</v>
      </c>
      <c r="AE189" s="75" t="s">
        <v>42</v>
      </c>
    </row>
    <row r="190" spans="1:31" ht="39.950000000000003" customHeight="1" thickBot="1">
      <c r="A190" s="82"/>
      <c r="B190" s="7" t="s">
        <v>43</v>
      </c>
      <c r="C190" s="7" t="s">
        <v>44</v>
      </c>
      <c r="D190" s="7" t="s">
        <v>43</v>
      </c>
      <c r="E190" s="7" t="s">
        <v>44</v>
      </c>
      <c r="F190" s="82"/>
      <c r="G190" s="82"/>
      <c r="H190" s="82"/>
      <c r="I190" s="82"/>
      <c r="J190" s="82"/>
      <c r="K190" s="84"/>
      <c r="L190" s="84"/>
      <c r="M190" s="84"/>
      <c r="N190" s="84"/>
      <c r="O190" s="86"/>
      <c r="Q190" s="75"/>
      <c r="R190" s="75"/>
      <c r="S190" s="75"/>
      <c r="T190" s="75"/>
      <c r="U190" s="75"/>
      <c r="V190" s="80"/>
      <c r="W190" s="80"/>
      <c r="X190" s="80"/>
      <c r="Y190" s="80"/>
      <c r="Z190" s="80"/>
      <c r="AA190" s="80"/>
      <c r="AB190" s="80"/>
      <c r="AC190" s="75"/>
      <c r="AD190" s="75"/>
      <c r="AE190" s="75"/>
    </row>
    <row r="191" spans="1:31" ht="15.75" customHeight="1">
      <c r="A191" s="21" t="s">
        <v>116</v>
      </c>
      <c r="B191" s="22"/>
      <c r="C191" s="22"/>
      <c r="D191" s="22">
        <f>B191</f>
        <v>0</v>
      </c>
      <c r="E191" s="22">
        <f>C191</f>
        <v>0</v>
      </c>
      <c r="F191" s="22"/>
      <c r="G191" s="22">
        <f t="shared" ref="G191:G202" si="52">(B191+C191+F191)+(D191+E191)</f>
        <v>0</v>
      </c>
      <c r="H191" s="22"/>
      <c r="I191" s="22">
        <f>(K187+B191+C191+F191)-H191</f>
        <v>0</v>
      </c>
      <c r="J191" s="22">
        <f>(D191+E191)</f>
        <v>0</v>
      </c>
      <c r="K191" s="22">
        <f>(K187+G191)-H191</f>
        <v>0</v>
      </c>
      <c r="L191" s="22">
        <f>ROUND((I191*8/100)/12,0)</f>
        <v>0</v>
      </c>
      <c r="M191" s="22">
        <f>ROUND((J191*8/100)/12,0)</f>
        <v>0</v>
      </c>
      <c r="N191" s="22">
        <f t="shared" ref="N191:N202" si="53">L191+M191</f>
        <v>0</v>
      </c>
      <c r="O191" s="76" t="s">
        <v>46</v>
      </c>
      <c r="Q191" s="18"/>
      <c r="R191" s="18"/>
      <c r="S191" s="18"/>
      <c r="T191" s="18"/>
      <c r="U191" s="18"/>
      <c r="V191" s="19"/>
      <c r="W191" s="19"/>
      <c r="X191" s="19"/>
      <c r="Y191" s="19">
        <f t="shared" ref="Y191:Y202" si="54">V191+W191+X191</f>
        <v>0</v>
      </c>
      <c r="Z191" s="19">
        <f t="shared" ref="Z191:Z202" si="55">ROUND(Y191*10%,0)</f>
        <v>0</v>
      </c>
      <c r="AA191" s="19"/>
      <c r="AB191" s="19">
        <f t="shared" ref="AB191:AB202" si="56">AA191-Z191</f>
        <v>0</v>
      </c>
      <c r="AC191" s="20">
        <v>39904</v>
      </c>
      <c r="AD191" s="20" t="s">
        <v>117</v>
      </c>
      <c r="AE191" s="18"/>
    </row>
    <row r="192" spans="1:31" ht="15.75" customHeight="1">
      <c r="A192" s="21" t="s">
        <v>118</v>
      </c>
      <c r="B192" s="22"/>
      <c r="C192" s="22"/>
      <c r="D192" s="22">
        <f t="shared" ref="D192:E202" si="57">B192</f>
        <v>0</v>
      </c>
      <c r="E192" s="22">
        <f t="shared" si="57"/>
        <v>0</v>
      </c>
      <c r="F192" s="22"/>
      <c r="G192" s="22">
        <f t="shared" si="52"/>
        <v>0</v>
      </c>
      <c r="H192" s="22"/>
      <c r="I192" s="22">
        <f>(I191+B192+C192+F192)-H192</f>
        <v>0</v>
      </c>
      <c r="J192" s="22">
        <f>(J191+D192+E192)</f>
        <v>0</v>
      </c>
      <c r="K192" s="22">
        <f t="shared" ref="K192:K202" si="58">(K191+G192)-H192</f>
        <v>0</v>
      </c>
      <c r="L192" s="22">
        <f t="shared" ref="L192:M202" si="59">ROUND((I192*8/100)/12,0)</f>
        <v>0</v>
      </c>
      <c r="M192" s="22">
        <f t="shared" si="59"/>
        <v>0</v>
      </c>
      <c r="N192" s="22">
        <f t="shared" si="53"/>
        <v>0</v>
      </c>
      <c r="O192" s="76"/>
      <c r="Q192" s="18"/>
      <c r="R192" s="18"/>
      <c r="S192" s="18"/>
      <c r="T192" s="18"/>
      <c r="U192" s="18"/>
      <c r="V192" s="19"/>
      <c r="W192" s="19"/>
      <c r="X192" s="19"/>
      <c r="Y192" s="19">
        <f t="shared" si="54"/>
        <v>0</v>
      </c>
      <c r="Z192" s="19">
        <f t="shared" si="55"/>
        <v>0</v>
      </c>
      <c r="AA192" s="19"/>
      <c r="AB192" s="19">
        <f t="shared" si="56"/>
        <v>0</v>
      </c>
      <c r="AC192" s="20">
        <v>39934</v>
      </c>
      <c r="AD192" s="20">
        <v>39963</v>
      </c>
      <c r="AE192" s="18"/>
    </row>
    <row r="193" spans="1:31" ht="15.75" customHeight="1">
      <c r="A193" s="21" t="s">
        <v>119</v>
      </c>
      <c r="B193" s="22"/>
      <c r="C193" s="22"/>
      <c r="D193" s="22">
        <f t="shared" si="57"/>
        <v>0</v>
      </c>
      <c r="E193" s="22">
        <f t="shared" si="57"/>
        <v>0</v>
      </c>
      <c r="F193" s="22"/>
      <c r="G193" s="22">
        <f t="shared" si="52"/>
        <v>0</v>
      </c>
      <c r="H193" s="22"/>
      <c r="I193" s="22">
        <f t="shared" ref="I193:I202" si="60">(I192+B193+C193+F193)-H193</f>
        <v>0</v>
      </c>
      <c r="J193" s="22">
        <f t="shared" ref="J193:J202" si="61">(J192+D193+E193)</f>
        <v>0</v>
      </c>
      <c r="K193" s="22">
        <f t="shared" si="58"/>
        <v>0</v>
      </c>
      <c r="L193" s="22">
        <f t="shared" si="59"/>
        <v>0</v>
      </c>
      <c r="M193" s="22">
        <f t="shared" si="59"/>
        <v>0</v>
      </c>
      <c r="N193" s="22">
        <f t="shared" si="53"/>
        <v>0</v>
      </c>
      <c r="O193" s="76"/>
      <c r="Q193" s="18"/>
      <c r="R193" s="18"/>
      <c r="S193" s="18"/>
      <c r="T193" s="18"/>
      <c r="U193" s="18"/>
      <c r="V193" s="19"/>
      <c r="W193" s="19"/>
      <c r="X193" s="19"/>
      <c r="Y193" s="19">
        <f t="shared" si="54"/>
        <v>0</v>
      </c>
      <c r="Z193" s="19">
        <f t="shared" si="55"/>
        <v>0</v>
      </c>
      <c r="AA193" s="19"/>
      <c r="AB193" s="19">
        <f t="shared" si="56"/>
        <v>0</v>
      </c>
      <c r="AC193" s="20">
        <v>39965</v>
      </c>
      <c r="AD193" s="20">
        <v>39994</v>
      </c>
      <c r="AE193" s="18"/>
    </row>
    <row r="194" spans="1:31" ht="15.75" customHeight="1">
      <c r="A194" s="21" t="s">
        <v>120</v>
      </c>
      <c r="B194" s="22"/>
      <c r="C194" s="22"/>
      <c r="D194" s="22">
        <f t="shared" si="57"/>
        <v>0</v>
      </c>
      <c r="E194" s="22">
        <f t="shared" si="57"/>
        <v>0</v>
      </c>
      <c r="F194" s="22"/>
      <c r="G194" s="22">
        <f t="shared" si="52"/>
        <v>0</v>
      </c>
      <c r="H194" s="22"/>
      <c r="I194" s="22">
        <f t="shared" si="60"/>
        <v>0</v>
      </c>
      <c r="J194" s="22">
        <f t="shared" si="61"/>
        <v>0</v>
      </c>
      <c r="K194" s="22">
        <f t="shared" si="58"/>
        <v>0</v>
      </c>
      <c r="L194" s="22">
        <f t="shared" si="59"/>
        <v>0</v>
      </c>
      <c r="M194" s="22">
        <f t="shared" si="59"/>
        <v>0</v>
      </c>
      <c r="N194" s="22">
        <f t="shared" si="53"/>
        <v>0</v>
      </c>
      <c r="O194" s="76"/>
      <c r="Q194" s="18"/>
      <c r="R194" s="18"/>
      <c r="S194" s="18"/>
      <c r="T194" s="18"/>
      <c r="U194" s="18"/>
      <c r="V194" s="19"/>
      <c r="W194" s="19"/>
      <c r="X194" s="19"/>
      <c r="Y194" s="19">
        <f t="shared" si="54"/>
        <v>0</v>
      </c>
      <c r="Z194" s="19">
        <f t="shared" si="55"/>
        <v>0</v>
      </c>
      <c r="AA194" s="19"/>
      <c r="AB194" s="19">
        <f t="shared" si="56"/>
        <v>0</v>
      </c>
      <c r="AC194" s="20">
        <v>39995</v>
      </c>
      <c r="AD194" s="20">
        <v>40025</v>
      </c>
      <c r="AE194" s="18"/>
    </row>
    <row r="195" spans="1:31" ht="15.75" customHeight="1">
      <c r="A195" s="21" t="s">
        <v>121</v>
      </c>
      <c r="B195" s="22"/>
      <c r="C195" s="22"/>
      <c r="D195" s="22">
        <f t="shared" si="57"/>
        <v>0</v>
      </c>
      <c r="E195" s="22">
        <f t="shared" si="57"/>
        <v>0</v>
      </c>
      <c r="F195" s="22"/>
      <c r="G195" s="22">
        <f t="shared" si="52"/>
        <v>0</v>
      </c>
      <c r="H195" s="22"/>
      <c r="I195" s="22">
        <f t="shared" si="60"/>
        <v>0</v>
      </c>
      <c r="J195" s="22">
        <f t="shared" si="61"/>
        <v>0</v>
      </c>
      <c r="K195" s="22">
        <f t="shared" si="58"/>
        <v>0</v>
      </c>
      <c r="L195" s="22">
        <f t="shared" si="59"/>
        <v>0</v>
      </c>
      <c r="M195" s="22">
        <f t="shared" si="59"/>
        <v>0</v>
      </c>
      <c r="N195" s="22">
        <f t="shared" si="53"/>
        <v>0</v>
      </c>
      <c r="O195" s="76"/>
      <c r="Q195" s="18"/>
      <c r="R195" s="18"/>
      <c r="S195" s="18"/>
      <c r="T195" s="18"/>
      <c r="U195" s="18"/>
      <c r="V195" s="19"/>
      <c r="W195" s="19"/>
      <c r="X195" s="19"/>
      <c r="Y195" s="19">
        <f t="shared" si="54"/>
        <v>0</v>
      </c>
      <c r="Z195" s="19">
        <f t="shared" si="55"/>
        <v>0</v>
      </c>
      <c r="AA195" s="19"/>
      <c r="AB195" s="19">
        <f t="shared" si="56"/>
        <v>0</v>
      </c>
      <c r="AC195" s="20">
        <v>40026</v>
      </c>
      <c r="AD195" s="20">
        <v>40056</v>
      </c>
      <c r="AE195" s="18"/>
    </row>
    <row r="196" spans="1:31" ht="15.75" customHeight="1">
      <c r="A196" s="21" t="s">
        <v>122</v>
      </c>
      <c r="B196" s="22"/>
      <c r="C196" s="22"/>
      <c r="D196" s="22">
        <f t="shared" si="57"/>
        <v>0</v>
      </c>
      <c r="E196" s="22">
        <f t="shared" si="57"/>
        <v>0</v>
      </c>
      <c r="F196" s="22"/>
      <c r="G196" s="22">
        <f t="shared" si="52"/>
        <v>0</v>
      </c>
      <c r="H196" s="22"/>
      <c r="I196" s="22">
        <f t="shared" si="60"/>
        <v>0</v>
      </c>
      <c r="J196" s="22">
        <f t="shared" si="61"/>
        <v>0</v>
      </c>
      <c r="K196" s="22">
        <f t="shared" si="58"/>
        <v>0</v>
      </c>
      <c r="L196" s="22">
        <f t="shared" si="59"/>
        <v>0</v>
      </c>
      <c r="M196" s="22">
        <f t="shared" si="59"/>
        <v>0</v>
      </c>
      <c r="N196" s="22">
        <f t="shared" si="53"/>
        <v>0</v>
      </c>
      <c r="O196" s="76"/>
      <c r="Q196" s="18"/>
      <c r="R196" s="18"/>
      <c r="S196" s="18"/>
      <c r="T196" s="18"/>
      <c r="U196" s="18"/>
      <c r="V196" s="19"/>
      <c r="W196" s="19"/>
      <c r="X196" s="19"/>
      <c r="Y196" s="19">
        <f t="shared" si="54"/>
        <v>0</v>
      </c>
      <c r="Z196" s="19">
        <f t="shared" si="55"/>
        <v>0</v>
      </c>
      <c r="AA196" s="19"/>
      <c r="AB196" s="19">
        <f t="shared" si="56"/>
        <v>0</v>
      </c>
      <c r="AC196" s="20">
        <v>40057</v>
      </c>
      <c r="AD196" s="20">
        <v>40086</v>
      </c>
      <c r="AE196" s="18"/>
    </row>
    <row r="197" spans="1:31" ht="15.75" customHeight="1">
      <c r="A197" s="21" t="s">
        <v>123</v>
      </c>
      <c r="B197" s="22"/>
      <c r="C197" s="22"/>
      <c r="D197" s="22">
        <f t="shared" si="57"/>
        <v>0</v>
      </c>
      <c r="E197" s="22">
        <f t="shared" si="57"/>
        <v>0</v>
      </c>
      <c r="F197" s="22"/>
      <c r="G197" s="22">
        <f t="shared" si="52"/>
        <v>0</v>
      </c>
      <c r="H197" s="22"/>
      <c r="I197" s="22">
        <f t="shared" si="60"/>
        <v>0</v>
      </c>
      <c r="J197" s="22">
        <f t="shared" si="61"/>
        <v>0</v>
      </c>
      <c r="K197" s="22">
        <f t="shared" si="58"/>
        <v>0</v>
      </c>
      <c r="L197" s="22">
        <f t="shared" si="59"/>
        <v>0</v>
      </c>
      <c r="M197" s="22">
        <f t="shared" si="59"/>
        <v>0</v>
      </c>
      <c r="N197" s="22">
        <f t="shared" si="53"/>
        <v>0</v>
      </c>
      <c r="O197" s="76"/>
      <c r="Q197" s="18"/>
      <c r="R197" s="18"/>
      <c r="S197" s="18"/>
      <c r="T197" s="18"/>
      <c r="U197" s="18"/>
      <c r="V197" s="19"/>
      <c r="W197" s="19"/>
      <c r="X197" s="19"/>
      <c r="Y197" s="19">
        <f t="shared" si="54"/>
        <v>0</v>
      </c>
      <c r="Z197" s="19">
        <f t="shared" si="55"/>
        <v>0</v>
      </c>
      <c r="AA197" s="19"/>
      <c r="AB197" s="19">
        <f t="shared" si="56"/>
        <v>0</v>
      </c>
      <c r="AC197" s="20">
        <v>40087</v>
      </c>
      <c r="AD197" s="20">
        <v>40117</v>
      </c>
      <c r="AE197" s="18"/>
    </row>
    <row r="198" spans="1:31" ht="15.75" customHeight="1">
      <c r="A198" s="21" t="s">
        <v>124</v>
      </c>
      <c r="B198" s="22"/>
      <c r="C198" s="22"/>
      <c r="D198" s="22">
        <f t="shared" si="57"/>
        <v>0</v>
      </c>
      <c r="E198" s="22">
        <f t="shared" si="57"/>
        <v>0</v>
      </c>
      <c r="F198" s="22"/>
      <c r="G198" s="22">
        <f t="shared" si="52"/>
        <v>0</v>
      </c>
      <c r="H198" s="22"/>
      <c r="I198" s="22">
        <f t="shared" si="60"/>
        <v>0</v>
      </c>
      <c r="J198" s="22">
        <f t="shared" si="61"/>
        <v>0</v>
      </c>
      <c r="K198" s="22">
        <f t="shared" si="58"/>
        <v>0</v>
      </c>
      <c r="L198" s="22">
        <f t="shared" si="59"/>
        <v>0</v>
      </c>
      <c r="M198" s="22">
        <f t="shared" si="59"/>
        <v>0</v>
      </c>
      <c r="N198" s="22">
        <f t="shared" si="53"/>
        <v>0</v>
      </c>
      <c r="O198" s="76"/>
      <c r="Q198" s="18"/>
      <c r="R198" s="18"/>
      <c r="S198" s="18"/>
      <c r="T198" s="18"/>
      <c r="U198" s="18"/>
      <c r="V198" s="19"/>
      <c r="W198" s="19"/>
      <c r="X198" s="19"/>
      <c r="Y198" s="19">
        <f t="shared" si="54"/>
        <v>0</v>
      </c>
      <c r="Z198" s="19">
        <f t="shared" si="55"/>
        <v>0</v>
      </c>
      <c r="AA198" s="19"/>
      <c r="AB198" s="19">
        <f t="shared" si="56"/>
        <v>0</v>
      </c>
      <c r="AC198" s="20">
        <v>40118</v>
      </c>
      <c r="AD198" s="20">
        <v>40147</v>
      </c>
      <c r="AE198" s="18"/>
    </row>
    <row r="199" spans="1:31" ht="15.75" customHeight="1">
      <c r="A199" s="21" t="s">
        <v>125</v>
      </c>
      <c r="B199" s="22"/>
      <c r="C199" s="22"/>
      <c r="D199" s="22">
        <f t="shared" si="57"/>
        <v>0</v>
      </c>
      <c r="E199" s="22">
        <f t="shared" si="57"/>
        <v>0</v>
      </c>
      <c r="F199" s="22"/>
      <c r="G199" s="22">
        <f t="shared" si="52"/>
        <v>0</v>
      </c>
      <c r="H199" s="22"/>
      <c r="I199" s="22">
        <f t="shared" si="60"/>
        <v>0</v>
      </c>
      <c r="J199" s="22">
        <f t="shared" si="61"/>
        <v>0</v>
      </c>
      <c r="K199" s="22">
        <f t="shared" si="58"/>
        <v>0</v>
      </c>
      <c r="L199" s="22">
        <f t="shared" si="59"/>
        <v>0</v>
      </c>
      <c r="M199" s="22">
        <f t="shared" si="59"/>
        <v>0</v>
      </c>
      <c r="N199" s="22">
        <f t="shared" si="53"/>
        <v>0</v>
      </c>
      <c r="O199" s="76"/>
      <c r="Q199" s="18"/>
      <c r="R199" s="18"/>
      <c r="S199" s="18"/>
      <c r="T199" s="18"/>
      <c r="U199" s="18"/>
      <c r="V199" s="19"/>
      <c r="W199" s="19"/>
      <c r="X199" s="19"/>
      <c r="Y199" s="19">
        <f t="shared" si="54"/>
        <v>0</v>
      </c>
      <c r="Z199" s="19">
        <f t="shared" si="55"/>
        <v>0</v>
      </c>
      <c r="AA199" s="19"/>
      <c r="AB199" s="19">
        <f t="shared" si="56"/>
        <v>0</v>
      </c>
      <c r="AC199" s="20">
        <v>40148</v>
      </c>
      <c r="AD199" s="20">
        <v>40178</v>
      </c>
      <c r="AE199" s="18"/>
    </row>
    <row r="200" spans="1:31" ht="15.75" customHeight="1">
      <c r="A200" s="21" t="s">
        <v>126</v>
      </c>
      <c r="B200" s="22"/>
      <c r="C200" s="22"/>
      <c r="D200" s="22">
        <f t="shared" si="57"/>
        <v>0</v>
      </c>
      <c r="E200" s="22">
        <f t="shared" si="57"/>
        <v>0</v>
      </c>
      <c r="F200" s="22"/>
      <c r="G200" s="22">
        <f t="shared" si="52"/>
        <v>0</v>
      </c>
      <c r="H200" s="22"/>
      <c r="I200" s="22">
        <f t="shared" si="60"/>
        <v>0</v>
      </c>
      <c r="J200" s="22">
        <f t="shared" si="61"/>
        <v>0</v>
      </c>
      <c r="K200" s="22">
        <f t="shared" si="58"/>
        <v>0</v>
      </c>
      <c r="L200" s="22">
        <f t="shared" si="59"/>
        <v>0</v>
      </c>
      <c r="M200" s="22">
        <f t="shared" si="59"/>
        <v>0</v>
      </c>
      <c r="N200" s="22">
        <f t="shared" si="53"/>
        <v>0</v>
      </c>
      <c r="O200" s="76"/>
      <c r="Q200" s="18"/>
      <c r="R200" s="18"/>
      <c r="S200" s="18"/>
      <c r="T200" s="18"/>
      <c r="U200" s="18"/>
      <c r="V200" s="19"/>
      <c r="W200" s="19"/>
      <c r="X200" s="19"/>
      <c r="Y200" s="19">
        <f t="shared" si="54"/>
        <v>0</v>
      </c>
      <c r="Z200" s="19">
        <f t="shared" si="55"/>
        <v>0</v>
      </c>
      <c r="AA200" s="19"/>
      <c r="AB200" s="19">
        <f t="shared" si="56"/>
        <v>0</v>
      </c>
      <c r="AC200" s="20">
        <v>40179</v>
      </c>
      <c r="AD200" s="20">
        <v>40209</v>
      </c>
      <c r="AE200" s="18"/>
    </row>
    <row r="201" spans="1:31" ht="15.75" customHeight="1">
      <c r="A201" s="21" t="s">
        <v>127</v>
      </c>
      <c r="B201" s="22"/>
      <c r="C201" s="22"/>
      <c r="D201" s="22">
        <f t="shared" si="57"/>
        <v>0</v>
      </c>
      <c r="E201" s="22">
        <f t="shared" si="57"/>
        <v>0</v>
      </c>
      <c r="F201" s="22"/>
      <c r="G201" s="22">
        <f t="shared" si="52"/>
        <v>0</v>
      </c>
      <c r="H201" s="22"/>
      <c r="I201" s="22">
        <f t="shared" si="60"/>
        <v>0</v>
      </c>
      <c r="J201" s="22">
        <f t="shared" si="61"/>
        <v>0</v>
      </c>
      <c r="K201" s="22">
        <f t="shared" si="58"/>
        <v>0</v>
      </c>
      <c r="L201" s="22">
        <f t="shared" si="59"/>
        <v>0</v>
      </c>
      <c r="M201" s="22">
        <f t="shared" si="59"/>
        <v>0</v>
      </c>
      <c r="N201" s="22">
        <f t="shared" si="53"/>
        <v>0</v>
      </c>
      <c r="O201" s="76"/>
      <c r="Q201" s="18"/>
      <c r="R201" s="18"/>
      <c r="S201" s="18"/>
      <c r="T201" s="18"/>
      <c r="U201" s="18"/>
      <c r="V201" s="19"/>
      <c r="W201" s="19"/>
      <c r="X201" s="19"/>
      <c r="Y201" s="19">
        <f t="shared" si="54"/>
        <v>0</v>
      </c>
      <c r="Z201" s="19">
        <f t="shared" si="55"/>
        <v>0</v>
      </c>
      <c r="AA201" s="19"/>
      <c r="AB201" s="19">
        <f t="shared" si="56"/>
        <v>0</v>
      </c>
      <c r="AC201" s="20">
        <v>40210</v>
      </c>
      <c r="AD201" s="20">
        <v>40235</v>
      </c>
      <c r="AE201" s="18"/>
    </row>
    <row r="202" spans="1:31" ht="15.75" customHeight="1" thickBot="1">
      <c r="A202" s="23" t="s">
        <v>128</v>
      </c>
      <c r="B202" s="24"/>
      <c r="C202" s="24"/>
      <c r="D202" s="24">
        <f t="shared" si="57"/>
        <v>0</v>
      </c>
      <c r="E202" s="24">
        <f t="shared" si="57"/>
        <v>0</v>
      </c>
      <c r="F202" s="24"/>
      <c r="G202" s="24">
        <f t="shared" si="52"/>
        <v>0</v>
      </c>
      <c r="H202" s="24"/>
      <c r="I202" s="24">
        <f t="shared" si="60"/>
        <v>0</v>
      </c>
      <c r="J202" s="24">
        <f t="shared" si="61"/>
        <v>0</v>
      </c>
      <c r="K202" s="24">
        <f t="shared" si="58"/>
        <v>0</v>
      </c>
      <c r="L202" s="24">
        <f t="shared" si="59"/>
        <v>0</v>
      </c>
      <c r="M202" s="24">
        <f t="shared" si="59"/>
        <v>0</v>
      </c>
      <c r="N202" s="24">
        <f t="shared" si="53"/>
        <v>0</v>
      </c>
      <c r="O202" s="98"/>
      <c r="Q202" s="18"/>
      <c r="R202" s="18"/>
      <c r="S202" s="18"/>
      <c r="T202" s="18"/>
      <c r="U202" s="18"/>
      <c r="V202" s="19"/>
      <c r="W202" s="19"/>
      <c r="X202" s="19"/>
      <c r="Y202" s="19">
        <f t="shared" si="54"/>
        <v>0</v>
      </c>
      <c r="Z202" s="19">
        <f t="shared" si="55"/>
        <v>0</v>
      </c>
      <c r="AA202" s="19"/>
      <c r="AB202" s="19">
        <f t="shared" si="56"/>
        <v>0</v>
      </c>
      <c r="AC202" s="20">
        <v>40238</v>
      </c>
      <c r="AD202" s="20">
        <v>40268</v>
      </c>
      <c r="AE202" s="18"/>
    </row>
    <row r="203" spans="1:31" ht="15.75" thickBot="1">
      <c r="A203" s="7" t="s">
        <v>129</v>
      </c>
      <c r="B203" s="25">
        <f t="shared" ref="B203:M203" si="62">SUM(B191:B202)</f>
        <v>0</v>
      </c>
      <c r="C203" s="25">
        <f t="shared" si="62"/>
        <v>0</v>
      </c>
      <c r="D203" s="25">
        <f t="shared" si="62"/>
        <v>0</v>
      </c>
      <c r="E203" s="25">
        <f t="shared" si="62"/>
        <v>0</v>
      </c>
      <c r="F203" s="25">
        <f t="shared" si="62"/>
        <v>0</v>
      </c>
      <c r="G203" s="25">
        <f t="shared" si="62"/>
        <v>0</v>
      </c>
      <c r="H203" s="25">
        <f t="shared" si="62"/>
        <v>0</v>
      </c>
      <c r="I203" s="25">
        <f t="shared" si="62"/>
        <v>0</v>
      </c>
      <c r="J203" s="25">
        <f t="shared" si="62"/>
        <v>0</v>
      </c>
      <c r="K203" s="25">
        <f t="shared" si="62"/>
        <v>0</v>
      </c>
      <c r="L203" s="25">
        <f t="shared" si="62"/>
        <v>0</v>
      </c>
      <c r="M203" s="25">
        <f t="shared" si="62"/>
        <v>0</v>
      </c>
      <c r="N203" s="25">
        <f>SUM(N191:N202)</f>
        <v>0</v>
      </c>
      <c r="O203" s="26"/>
      <c r="P203" s="6"/>
      <c r="Q203" s="77" t="s">
        <v>36</v>
      </c>
      <c r="R203" s="78"/>
      <c r="S203" s="78"/>
      <c r="T203" s="79"/>
      <c r="U203" s="27"/>
      <c r="V203" s="28">
        <f t="shared" ref="V203:AB203" si="63">SUM(V191:V202)</f>
        <v>0</v>
      </c>
      <c r="W203" s="28">
        <f t="shared" si="63"/>
        <v>0</v>
      </c>
      <c r="X203" s="28">
        <f t="shared" si="63"/>
        <v>0</v>
      </c>
      <c r="Y203" s="28">
        <f t="shared" si="63"/>
        <v>0</v>
      </c>
      <c r="Z203" s="28">
        <f t="shared" si="63"/>
        <v>0</v>
      </c>
      <c r="AA203" s="28">
        <f t="shared" si="63"/>
        <v>0</v>
      </c>
      <c r="AB203" s="28">
        <f t="shared" si="63"/>
        <v>0</v>
      </c>
      <c r="AC203" s="18"/>
      <c r="AD203" s="18"/>
      <c r="AE203" s="18"/>
    </row>
    <row r="204" spans="1:31" ht="15.75" thickBot="1">
      <c r="A204" s="9"/>
      <c r="B204" s="9"/>
      <c r="C204" s="9"/>
      <c r="D204" s="9"/>
      <c r="E204" s="9"/>
      <c r="H204" s="15"/>
      <c r="I204" s="15"/>
      <c r="J204" s="15"/>
      <c r="K204" s="11"/>
      <c r="L204" s="11"/>
      <c r="M204" s="11"/>
      <c r="N204" s="9"/>
    </row>
    <row r="205" spans="1:31" ht="15.75" customHeight="1" thickBot="1">
      <c r="A205" s="9"/>
      <c r="B205" s="11"/>
      <c r="C205" s="11"/>
      <c r="D205" s="11"/>
      <c r="E205" s="9"/>
      <c r="F205" s="8">
        <v>1</v>
      </c>
      <c r="G205" s="56" t="s">
        <v>59</v>
      </c>
      <c r="H205" s="57"/>
      <c r="I205" s="57"/>
      <c r="J205" s="57"/>
      <c r="K205" s="58"/>
      <c r="L205" s="25">
        <f>K187</f>
        <v>0</v>
      </c>
      <c r="M205" s="5"/>
      <c r="O205" s="1"/>
      <c r="S205" s="29"/>
      <c r="T205" s="29"/>
      <c r="U205" s="29"/>
      <c r="AA205" s="15"/>
      <c r="AB205" s="15"/>
    </row>
    <row r="206" spans="1:31" ht="15.75" customHeight="1" thickBot="1">
      <c r="A206" s="9"/>
      <c r="B206" s="11"/>
      <c r="C206" s="11"/>
      <c r="D206" s="11"/>
      <c r="E206" s="9"/>
      <c r="F206" s="8">
        <v>2</v>
      </c>
      <c r="G206" s="56" t="s">
        <v>60</v>
      </c>
      <c r="H206" s="57"/>
      <c r="I206" s="57"/>
      <c r="J206" s="57"/>
      <c r="K206" s="58"/>
      <c r="L206" s="25">
        <f>B203+C203</f>
        <v>0</v>
      </c>
      <c r="M206" s="5"/>
      <c r="O206" s="1"/>
      <c r="S206" s="29"/>
      <c r="T206" s="29"/>
      <c r="U206" s="29"/>
      <c r="AA206" s="15"/>
      <c r="AB206" s="15"/>
    </row>
    <row r="207" spans="1:31" ht="15.75" customHeight="1" thickBot="1">
      <c r="A207" s="9"/>
      <c r="B207" s="11"/>
      <c r="C207" s="11"/>
      <c r="D207" s="11"/>
      <c r="E207" s="9"/>
      <c r="F207" s="8">
        <v>3</v>
      </c>
      <c r="G207" s="56" t="s">
        <v>113</v>
      </c>
      <c r="H207" s="57"/>
      <c r="I207" s="57"/>
      <c r="J207" s="57"/>
      <c r="K207" s="58"/>
      <c r="L207" s="25">
        <f>F203</f>
        <v>0</v>
      </c>
      <c r="M207" s="5"/>
      <c r="O207" s="1"/>
      <c r="S207" s="29"/>
      <c r="T207" s="29"/>
      <c r="U207" s="29"/>
      <c r="AA207" s="15"/>
      <c r="AB207" s="15"/>
    </row>
    <row r="208" spans="1:31" ht="15.75" customHeight="1" thickBot="1">
      <c r="A208" s="9"/>
      <c r="B208" s="11"/>
      <c r="C208" s="11"/>
      <c r="D208" s="11"/>
      <c r="E208" s="9"/>
      <c r="F208" s="8">
        <v>4</v>
      </c>
      <c r="G208" s="56" t="s">
        <v>62</v>
      </c>
      <c r="H208" s="57"/>
      <c r="I208" s="57"/>
      <c r="J208" s="57"/>
      <c r="K208" s="58"/>
      <c r="L208" s="25">
        <f>L206+L207</f>
        <v>0</v>
      </c>
      <c r="M208" s="5"/>
      <c r="O208" s="1"/>
      <c r="S208" s="29"/>
      <c r="T208" s="29"/>
      <c r="U208" s="29"/>
      <c r="AA208" s="15"/>
      <c r="AB208" s="15"/>
    </row>
    <row r="209" spans="1:28" ht="15.75" thickBot="1">
      <c r="A209" s="9"/>
      <c r="B209" s="11"/>
      <c r="C209" s="11"/>
      <c r="D209" s="11"/>
      <c r="E209" s="9"/>
      <c r="F209" s="8">
        <v>5</v>
      </c>
      <c r="G209" s="56" t="s">
        <v>18</v>
      </c>
      <c r="H209" s="57"/>
      <c r="I209" s="57"/>
      <c r="J209" s="57"/>
      <c r="K209" s="58"/>
      <c r="L209" s="25">
        <f>D203+E203</f>
        <v>0</v>
      </c>
      <c r="M209" s="5"/>
      <c r="O209" s="1"/>
      <c r="S209" s="29"/>
      <c r="T209" s="29"/>
      <c r="U209" s="29"/>
      <c r="AA209" s="15"/>
      <c r="AB209" s="15"/>
    </row>
    <row r="210" spans="1:28" ht="15.75" customHeight="1" thickBot="1">
      <c r="A210" s="9"/>
      <c r="B210" s="9"/>
      <c r="C210" s="9"/>
      <c r="D210" s="9"/>
      <c r="E210" s="9"/>
      <c r="F210" s="8">
        <v>6</v>
      </c>
      <c r="G210" s="56" t="s">
        <v>63</v>
      </c>
      <c r="H210" s="57"/>
      <c r="I210" s="57"/>
      <c r="J210" s="57"/>
      <c r="K210" s="58"/>
      <c r="L210" s="25">
        <f>L205+L208+L209</f>
        <v>0</v>
      </c>
      <c r="M210" s="5"/>
      <c r="O210" s="1"/>
      <c r="S210" s="29"/>
      <c r="T210" s="29"/>
      <c r="U210" s="29"/>
      <c r="AA210" s="15"/>
      <c r="AB210" s="15"/>
    </row>
    <row r="211" spans="1:28" ht="15.75" customHeight="1" thickBot="1">
      <c r="A211" s="9"/>
      <c r="B211" s="9"/>
      <c r="C211" s="9"/>
      <c r="D211" s="9"/>
      <c r="E211" s="9"/>
      <c r="F211" s="8">
        <v>7</v>
      </c>
      <c r="G211" s="56" t="s">
        <v>64</v>
      </c>
      <c r="H211" s="57"/>
      <c r="I211" s="57"/>
      <c r="J211" s="57"/>
      <c r="K211" s="58"/>
      <c r="L211" s="25">
        <f>H203</f>
        <v>0</v>
      </c>
      <c r="M211" s="5"/>
      <c r="O211" s="1"/>
      <c r="S211" s="29"/>
      <c r="T211" s="29"/>
      <c r="U211" s="29"/>
      <c r="AA211" s="15"/>
      <c r="AB211" s="15"/>
    </row>
    <row r="212" spans="1:28" ht="15.75" customHeight="1" thickBot="1">
      <c r="A212" s="9"/>
      <c r="B212" s="9"/>
      <c r="C212" s="9"/>
      <c r="D212" s="9"/>
      <c r="E212" s="9"/>
      <c r="F212" s="8">
        <v>8</v>
      </c>
      <c r="G212" s="56" t="s">
        <v>25</v>
      </c>
      <c r="H212" s="57"/>
      <c r="I212" s="57"/>
      <c r="J212" s="57"/>
      <c r="K212" s="58"/>
      <c r="L212" s="25">
        <f>L203</f>
        <v>0</v>
      </c>
      <c r="M212" s="5"/>
      <c r="O212" s="1"/>
      <c r="S212" s="29"/>
      <c r="T212" s="29"/>
      <c r="U212" s="29"/>
      <c r="AA212" s="15"/>
      <c r="AB212" s="15"/>
    </row>
    <row r="213" spans="1:28" ht="15.75" customHeight="1" thickBot="1">
      <c r="A213" s="9"/>
      <c r="B213" s="9"/>
      <c r="C213" s="9"/>
      <c r="D213" s="9"/>
      <c r="E213" s="9"/>
      <c r="F213" s="8">
        <v>9</v>
      </c>
      <c r="G213" s="56" t="s">
        <v>26</v>
      </c>
      <c r="H213" s="57"/>
      <c r="I213" s="57"/>
      <c r="J213" s="57"/>
      <c r="K213" s="58"/>
      <c r="L213" s="25">
        <f>M203</f>
        <v>0</v>
      </c>
      <c r="M213" s="5"/>
      <c r="O213" s="1"/>
      <c r="S213" s="29"/>
      <c r="T213" s="29"/>
      <c r="U213" s="29"/>
      <c r="AA213" s="15"/>
      <c r="AB213" s="15"/>
    </row>
    <row r="214" spans="1:28" ht="15.75" customHeight="1" thickBot="1">
      <c r="A214" s="9"/>
      <c r="B214" s="9"/>
      <c r="C214" s="9"/>
      <c r="D214" s="9"/>
      <c r="E214" s="9"/>
      <c r="F214" s="8">
        <v>10</v>
      </c>
      <c r="G214" s="56" t="s">
        <v>65</v>
      </c>
      <c r="H214" s="57"/>
      <c r="I214" s="57"/>
      <c r="J214" s="57"/>
      <c r="K214" s="58"/>
      <c r="L214" s="25">
        <f>N203</f>
        <v>0</v>
      </c>
      <c r="M214" s="5"/>
      <c r="O214" s="1"/>
      <c r="S214" s="29"/>
      <c r="T214" s="29"/>
      <c r="U214" s="29"/>
      <c r="AA214" s="15"/>
      <c r="AB214" s="15"/>
    </row>
    <row r="215" spans="1:28" ht="15.75" customHeight="1" thickBot="1">
      <c r="A215" s="9"/>
      <c r="B215" s="9"/>
      <c r="C215" s="9"/>
      <c r="D215" s="9"/>
      <c r="E215" s="9"/>
      <c r="F215" s="8">
        <v>11</v>
      </c>
      <c r="G215" s="57" t="s">
        <v>130</v>
      </c>
      <c r="H215" s="57"/>
      <c r="I215" s="57"/>
      <c r="J215" s="57"/>
      <c r="K215" s="58"/>
      <c r="L215" s="25">
        <f>L210-L211+L214</f>
        <v>0</v>
      </c>
      <c r="M215" s="5"/>
      <c r="O215" s="1"/>
      <c r="S215" s="29"/>
      <c r="T215" s="29"/>
      <c r="U215" s="29"/>
      <c r="AA215" s="15"/>
      <c r="AB215" s="15"/>
    </row>
    <row r="216" spans="1:28">
      <c r="A216" s="9"/>
      <c r="B216" s="9"/>
      <c r="C216" s="9"/>
      <c r="D216" s="9"/>
      <c r="E216" s="9"/>
      <c r="F216" s="9"/>
      <c r="G216" s="30"/>
      <c r="H216" s="30"/>
      <c r="I216" s="30"/>
      <c r="J216" s="30"/>
      <c r="K216" s="30"/>
      <c r="L216" s="30"/>
      <c r="M216" s="30"/>
      <c r="N216" s="11"/>
    </row>
    <row r="217" spans="1:28"/>
    <row r="218" spans="1:28"/>
    <row r="219" spans="1:28" ht="18">
      <c r="A219" s="73" t="s">
        <v>2</v>
      </c>
      <c r="B219" s="73"/>
      <c r="C219" s="3"/>
      <c r="D219" s="3"/>
      <c r="E219" s="73" t="s">
        <v>3</v>
      </c>
      <c r="F219" s="73"/>
      <c r="G219" s="73"/>
      <c r="H219" s="74" t="s">
        <v>4</v>
      </c>
      <c r="I219" s="74"/>
      <c r="J219" s="74"/>
      <c r="K219" s="74"/>
      <c r="L219" s="74"/>
      <c r="M219" s="74"/>
      <c r="N219" s="74"/>
    </row>
    <row r="220" spans="1:28" ht="18">
      <c r="A220" s="3"/>
      <c r="B220" s="3"/>
      <c r="C220" s="3"/>
      <c r="D220" s="3"/>
      <c r="E220" s="3"/>
      <c r="F220" s="3"/>
      <c r="G220" s="4"/>
      <c r="H220" s="4"/>
      <c r="I220" s="4"/>
      <c r="J220" s="4"/>
    </row>
    <row r="221" spans="1:28" ht="18">
      <c r="A221" s="3"/>
      <c r="B221" s="3"/>
      <c r="C221" s="3"/>
      <c r="D221" s="3"/>
      <c r="E221" s="3"/>
      <c r="F221" s="3"/>
      <c r="G221" s="4"/>
      <c r="H221" s="4"/>
      <c r="I221" s="4"/>
      <c r="J221" s="4"/>
    </row>
    <row r="222" spans="1:28" ht="18.75">
      <c r="A222" s="67" t="s">
        <v>0</v>
      </c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</row>
    <row r="223" spans="1:28" ht="18.75">
      <c r="A223" s="67" t="s">
        <v>1</v>
      </c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</row>
    <row r="224" spans="1:28"/>
    <row r="225" spans="1:31" ht="15.75" thickBot="1">
      <c r="A225" s="95" t="s">
        <v>131</v>
      </c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</row>
    <row r="226" spans="1:31" ht="36" customHeight="1" thickBot="1">
      <c r="A226" s="7" t="s">
        <v>7</v>
      </c>
      <c r="B226" s="8">
        <f>B183</f>
        <v>0</v>
      </c>
      <c r="C226" s="9"/>
      <c r="D226" s="9"/>
      <c r="E226" s="56" t="s">
        <v>8</v>
      </c>
      <c r="F226" s="58">
        <f>F183</f>
        <v>0</v>
      </c>
      <c r="G226" s="9"/>
      <c r="H226" s="56">
        <f>H183</f>
        <v>0</v>
      </c>
      <c r="I226" s="57"/>
      <c r="J226" s="57"/>
      <c r="K226" s="57"/>
      <c r="L226" s="57"/>
      <c r="M226" s="57"/>
      <c r="N226" s="57"/>
      <c r="O226" s="58"/>
    </row>
    <row r="227" spans="1:31" ht="15.75" thickBot="1">
      <c r="A227" s="9"/>
      <c r="E227" s="9"/>
      <c r="F227" s="9"/>
      <c r="G227" s="9"/>
      <c r="H227" s="9"/>
      <c r="I227" s="9"/>
      <c r="J227" s="9"/>
      <c r="K227" s="11"/>
      <c r="L227" s="11"/>
      <c r="M227" s="11"/>
      <c r="N227" s="9"/>
    </row>
    <row r="228" spans="1:31" ht="36" customHeight="1" thickBot="1">
      <c r="A228" s="7" t="s">
        <v>9</v>
      </c>
      <c r="B228" s="7">
        <f>B185</f>
        <v>0</v>
      </c>
      <c r="C228" s="9"/>
      <c r="D228" s="9"/>
      <c r="E228" s="7" t="s">
        <v>10</v>
      </c>
      <c r="F228" s="7">
        <f>F185</f>
        <v>0</v>
      </c>
      <c r="G228" s="9"/>
      <c r="H228" s="7" t="s">
        <v>11</v>
      </c>
      <c r="I228" s="56">
        <f>I185</f>
        <v>0</v>
      </c>
      <c r="J228" s="57"/>
      <c r="K228" s="57">
        <f>K185</f>
        <v>0</v>
      </c>
      <c r="L228" s="57"/>
      <c r="M228" s="57"/>
      <c r="N228" s="57"/>
      <c r="O228" s="58"/>
    </row>
    <row r="229" spans="1:31" ht="15.75" thickBo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11"/>
      <c r="L229" s="11"/>
      <c r="M229" s="11"/>
      <c r="N229" s="9"/>
    </row>
    <row r="230" spans="1:31" ht="24" customHeight="1" thickBot="1">
      <c r="A230" s="7" t="s">
        <v>12</v>
      </c>
      <c r="B230" s="12">
        <v>0.08</v>
      </c>
      <c r="C230" s="9"/>
      <c r="D230" s="9"/>
      <c r="E230" s="7" t="s">
        <v>13</v>
      </c>
      <c r="F230" s="12">
        <v>0</v>
      </c>
      <c r="G230" s="9"/>
      <c r="H230" s="87" t="s">
        <v>14</v>
      </c>
      <c r="I230" s="88"/>
      <c r="J230" s="89"/>
      <c r="K230" s="90">
        <f>L215</f>
        <v>0</v>
      </c>
      <c r="L230" s="91"/>
      <c r="M230" s="91"/>
      <c r="N230" s="91"/>
      <c r="O230" s="92"/>
      <c r="Q230" s="75" t="s">
        <v>131</v>
      </c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</row>
    <row r="231" spans="1:31" ht="15.75" thickBo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11"/>
      <c r="L231" s="11"/>
      <c r="M231" s="11"/>
      <c r="N231" s="9"/>
    </row>
    <row r="232" spans="1:31" ht="39.950000000000003" customHeight="1" thickBot="1">
      <c r="A232" s="81" t="s">
        <v>16</v>
      </c>
      <c r="B232" s="93" t="s">
        <v>17</v>
      </c>
      <c r="C232" s="94"/>
      <c r="D232" s="93" t="s">
        <v>18</v>
      </c>
      <c r="E232" s="94"/>
      <c r="F232" s="81" t="s">
        <v>19</v>
      </c>
      <c r="G232" s="81" t="s">
        <v>20</v>
      </c>
      <c r="H232" s="81" t="s">
        <v>21</v>
      </c>
      <c r="I232" s="81" t="s">
        <v>22</v>
      </c>
      <c r="J232" s="81" t="s">
        <v>23</v>
      </c>
      <c r="K232" s="83" t="s">
        <v>24</v>
      </c>
      <c r="L232" s="83" t="s">
        <v>25</v>
      </c>
      <c r="M232" s="83" t="s">
        <v>26</v>
      </c>
      <c r="N232" s="83" t="s">
        <v>27</v>
      </c>
      <c r="O232" s="85" t="s">
        <v>28</v>
      </c>
      <c r="Q232" s="75" t="s">
        <v>29</v>
      </c>
      <c r="R232" s="75" t="s">
        <v>30</v>
      </c>
      <c r="S232" s="75" t="s">
        <v>31</v>
      </c>
      <c r="T232" s="75" t="s">
        <v>32</v>
      </c>
      <c r="U232" s="75" t="s">
        <v>264</v>
      </c>
      <c r="V232" s="80" t="s">
        <v>33</v>
      </c>
      <c r="W232" s="80" t="s">
        <v>34</v>
      </c>
      <c r="X232" s="80" t="s">
        <v>35</v>
      </c>
      <c r="Y232" s="80" t="s">
        <v>36</v>
      </c>
      <c r="Z232" s="80" t="s">
        <v>37</v>
      </c>
      <c r="AA232" s="80" t="s">
        <v>38</v>
      </c>
      <c r="AB232" s="80" t="s">
        <v>39</v>
      </c>
      <c r="AC232" s="75" t="s">
        <v>40</v>
      </c>
      <c r="AD232" s="75" t="s">
        <v>41</v>
      </c>
      <c r="AE232" s="75" t="s">
        <v>42</v>
      </c>
    </row>
    <row r="233" spans="1:31" ht="39.950000000000003" customHeight="1" thickBot="1">
      <c r="A233" s="82"/>
      <c r="B233" s="7" t="s">
        <v>43</v>
      </c>
      <c r="C233" s="7" t="s">
        <v>44</v>
      </c>
      <c r="D233" s="7" t="s">
        <v>43</v>
      </c>
      <c r="E233" s="7" t="s">
        <v>44</v>
      </c>
      <c r="F233" s="82"/>
      <c r="G233" s="82"/>
      <c r="H233" s="82"/>
      <c r="I233" s="82"/>
      <c r="J233" s="82"/>
      <c r="K233" s="84"/>
      <c r="L233" s="84"/>
      <c r="M233" s="84"/>
      <c r="N233" s="84"/>
      <c r="O233" s="86"/>
      <c r="Q233" s="75"/>
      <c r="R233" s="75"/>
      <c r="S233" s="75"/>
      <c r="T233" s="75"/>
      <c r="U233" s="75"/>
      <c r="V233" s="80"/>
      <c r="W233" s="80"/>
      <c r="X233" s="80"/>
      <c r="Y233" s="80"/>
      <c r="Z233" s="80"/>
      <c r="AA233" s="80"/>
      <c r="AB233" s="80"/>
      <c r="AC233" s="75"/>
      <c r="AD233" s="75"/>
      <c r="AE233" s="75"/>
    </row>
    <row r="234" spans="1:31" ht="18" customHeight="1">
      <c r="A234" s="21" t="s">
        <v>132</v>
      </c>
      <c r="B234" s="22"/>
      <c r="C234" s="22"/>
      <c r="D234" s="22">
        <f>B234</f>
        <v>0</v>
      </c>
      <c r="E234" s="22">
        <f>C234</f>
        <v>0</v>
      </c>
      <c r="F234" s="22"/>
      <c r="G234" s="22">
        <f t="shared" ref="G234:G245" si="64">(B234+C234+F234)+(D234+E234)</f>
        <v>0</v>
      </c>
      <c r="H234" s="22"/>
      <c r="I234" s="22">
        <f>(K230+B234+C234+F234)-H234</f>
        <v>0</v>
      </c>
      <c r="J234" s="22">
        <f>(D234+E234)</f>
        <v>0</v>
      </c>
      <c r="K234" s="22">
        <f>(K230+G234)-H234</f>
        <v>0</v>
      </c>
      <c r="L234" s="22">
        <f>ROUND((I234*8/100)/12,0)</f>
        <v>0</v>
      </c>
      <c r="M234" s="22">
        <f>ROUND((J234*8/100)/12,0)</f>
        <v>0</v>
      </c>
      <c r="N234" s="22">
        <f>L234+M234</f>
        <v>0</v>
      </c>
      <c r="O234" s="76" t="s">
        <v>46</v>
      </c>
      <c r="Q234" s="18"/>
      <c r="R234" s="18"/>
      <c r="S234" s="18"/>
      <c r="T234" s="18"/>
      <c r="U234" s="18"/>
      <c r="V234" s="19"/>
      <c r="W234" s="19"/>
      <c r="X234" s="19"/>
      <c r="Y234" s="19">
        <f t="shared" ref="Y234:Y245" si="65">V234+W234+X234</f>
        <v>0</v>
      </c>
      <c r="Z234" s="19">
        <f t="shared" ref="Z234:Z245" si="66">ROUND(Y234*10%,0)</f>
        <v>0</v>
      </c>
      <c r="AA234" s="19"/>
      <c r="AB234" s="19">
        <f t="shared" ref="AB234:AB245" si="67">AA234-Z234</f>
        <v>0</v>
      </c>
      <c r="AC234" s="20">
        <v>40269</v>
      </c>
      <c r="AD234" s="20" t="s">
        <v>133</v>
      </c>
      <c r="AE234" s="18"/>
    </row>
    <row r="235" spans="1:31" ht="18" customHeight="1">
      <c r="A235" s="21" t="s">
        <v>134</v>
      </c>
      <c r="B235" s="22"/>
      <c r="C235" s="24"/>
      <c r="D235" s="24">
        <f t="shared" ref="D235:E245" si="68">B235</f>
        <v>0</v>
      </c>
      <c r="E235" s="22">
        <f t="shared" si="68"/>
        <v>0</v>
      </c>
      <c r="F235" s="22"/>
      <c r="G235" s="22">
        <f t="shared" si="64"/>
        <v>0</v>
      </c>
      <c r="H235" s="22"/>
      <c r="I235" s="22">
        <f>(I234+B235+C235+F235)-H235</f>
        <v>0</v>
      </c>
      <c r="J235" s="22">
        <f>(J234+D235+E235)</f>
        <v>0</v>
      </c>
      <c r="K235" s="22">
        <f t="shared" ref="K235:K245" si="69">(K234+G235)-H235</f>
        <v>0</v>
      </c>
      <c r="L235" s="22">
        <f t="shared" ref="L235:M245" si="70">ROUND((I235*8/100)/12,0)</f>
        <v>0</v>
      </c>
      <c r="M235" s="22">
        <f t="shared" si="70"/>
        <v>0</v>
      </c>
      <c r="N235" s="22">
        <f t="shared" ref="N235:N245" si="71">L235+M235</f>
        <v>0</v>
      </c>
      <c r="O235" s="76"/>
      <c r="Q235" s="18"/>
      <c r="R235" s="18"/>
      <c r="S235" s="18"/>
      <c r="T235" s="18"/>
      <c r="U235" s="18"/>
      <c r="V235" s="19"/>
      <c r="W235" s="19"/>
      <c r="X235" s="19"/>
      <c r="Y235" s="19">
        <f t="shared" si="65"/>
        <v>0</v>
      </c>
      <c r="Z235" s="19">
        <f t="shared" si="66"/>
        <v>0</v>
      </c>
      <c r="AA235" s="19"/>
      <c r="AB235" s="19">
        <f t="shared" si="67"/>
        <v>0</v>
      </c>
      <c r="AC235" s="20">
        <v>40299</v>
      </c>
      <c r="AD235" s="20">
        <v>40328</v>
      </c>
      <c r="AE235" s="18"/>
    </row>
    <row r="236" spans="1:31" ht="18" customHeight="1">
      <c r="A236" s="21" t="s">
        <v>135</v>
      </c>
      <c r="B236" s="22"/>
      <c r="C236" s="22"/>
      <c r="D236" s="22">
        <f t="shared" si="68"/>
        <v>0</v>
      </c>
      <c r="E236" s="22">
        <f t="shared" si="68"/>
        <v>0</v>
      </c>
      <c r="F236" s="22"/>
      <c r="G236" s="22">
        <f t="shared" si="64"/>
        <v>0</v>
      </c>
      <c r="H236" s="22"/>
      <c r="I236" s="22">
        <f>(I235+B236+C236+F236)-H236</f>
        <v>0</v>
      </c>
      <c r="J236" s="22">
        <f>(J235+D236+E236)</f>
        <v>0</v>
      </c>
      <c r="K236" s="22">
        <f>(K235+G236)-H236</f>
        <v>0</v>
      </c>
      <c r="L236" s="22">
        <f t="shared" si="70"/>
        <v>0</v>
      </c>
      <c r="M236" s="22">
        <f t="shared" si="70"/>
        <v>0</v>
      </c>
      <c r="N236" s="22">
        <f t="shared" si="71"/>
        <v>0</v>
      </c>
      <c r="O236" s="76"/>
      <c r="Q236" s="18"/>
      <c r="R236" s="18"/>
      <c r="S236" s="18"/>
      <c r="T236" s="18"/>
      <c r="U236" s="18"/>
      <c r="V236" s="19"/>
      <c r="W236" s="19"/>
      <c r="X236" s="19"/>
      <c r="Y236" s="19">
        <f t="shared" si="65"/>
        <v>0</v>
      </c>
      <c r="Z236" s="19">
        <f t="shared" si="66"/>
        <v>0</v>
      </c>
      <c r="AA236" s="19"/>
      <c r="AB236" s="19">
        <f t="shared" si="67"/>
        <v>0</v>
      </c>
      <c r="AC236" s="20">
        <v>40330</v>
      </c>
      <c r="AD236" s="20">
        <v>40359</v>
      </c>
      <c r="AE236" s="18"/>
    </row>
    <row r="237" spans="1:31" ht="18" customHeight="1">
      <c r="A237" s="21" t="s">
        <v>136</v>
      </c>
      <c r="B237" s="22"/>
      <c r="C237" s="22"/>
      <c r="D237" s="22">
        <f t="shared" si="68"/>
        <v>0</v>
      </c>
      <c r="E237" s="22">
        <f t="shared" si="68"/>
        <v>0</v>
      </c>
      <c r="F237" s="22"/>
      <c r="G237" s="22">
        <f t="shared" si="64"/>
        <v>0</v>
      </c>
      <c r="H237" s="22"/>
      <c r="I237" s="22">
        <f t="shared" ref="I237:I245" si="72">(I236+B237+C237+F237)-H237</f>
        <v>0</v>
      </c>
      <c r="J237" s="22">
        <f t="shared" ref="J237:J245" si="73">(J236+D237+E237)</f>
        <v>0</v>
      </c>
      <c r="K237" s="22">
        <f t="shared" si="69"/>
        <v>0</v>
      </c>
      <c r="L237" s="22">
        <f t="shared" si="70"/>
        <v>0</v>
      </c>
      <c r="M237" s="22">
        <f t="shared" si="70"/>
        <v>0</v>
      </c>
      <c r="N237" s="22">
        <f t="shared" si="71"/>
        <v>0</v>
      </c>
      <c r="O237" s="76"/>
      <c r="Q237" s="18"/>
      <c r="R237" s="18"/>
      <c r="S237" s="18"/>
      <c r="T237" s="18"/>
      <c r="U237" s="18"/>
      <c r="V237" s="19"/>
      <c r="W237" s="19"/>
      <c r="X237" s="19"/>
      <c r="Y237" s="19">
        <f t="shared" si="65"/>
        <v>0</v>
      </c>
      <c r="Z237" s="19">
        <f t="shared" si="66"/>
        <v>0</v>
      </c>
      <c r="AA237" s="19"/>
      <c r="AB237" s="19">
        <f t="shared" si="67"/>
        <v>0</v>
      </c>
      <c r="AC237" s="20">
        <v>40360</v>
      </c>
      <c r="AD237" s="20">
        <v>40390</v>
      </c>
      <c r="AE237" s="18"/>
    </row>
    <row r="238" spans="1:31" ht="18" customHeight="1">
      <c r="A238" s="21" t="s">
        <v>137</v>
      </c>
      <c r="B238" s="22"/>
      <c r="C238" s="22"/>
      <c r="D238" s="22">
        <f t="shared" si="68"/>
        <v>0</v>
      </c>
      <c r="E238" s="22">
        <f t="shared" si="68"/>
        <v>0</v>
      </c>
      <c r="F238" s="22"/>
      <c r="G238" s="22">
        <f t="shared" si="64"/>
        <v>0</v>
      </c>
      <c r="H238" s="22"/>
      <c r="I238" s="22">
        <f t="shared" si="72"/>
        <v>0</v>
      </c>
      <c r="J238" s="22">
        <f t="shared" si="73"/>
        <v>0</v>
      </c>
      <c r="K238" s="22">
        <f t="shared" si="69"/>
        <v>0</v>
      </c>
      <c r="L238" s="22">
        <f t="shared" si="70"/>
        <v>0</v>
      </c>
      <c r="M238" s="22">
        <f t="shared" si="70"/>
        <v>0</v>
      </c>
      <c r="N238" s="22">
        <f t="shared" si="71"/>
        <v>0</v>
      </c>
      <c r="O238" s="76"/>
      <c r="Q238" s="18"/>
      <c r="R238" s="18"/>
      <c r="S238" s="18"/>
      <c r="T238" s="18"/>
      <c r="U238" s="18"/>
      <c r="V238" s="19"/>
      <c r="W238" s="19"/>
      <c r="X238" s="19"/>
      <c r="Y238" s="19">
        <f t="shared" si="65"/>
        <v>0</v>
      </c>
      <c r="Z238" s="19">
        <f t="shared" si="66"/>
        <v>0</v>
      </c>
      <c r="AA238" s="19"/>
      <c r="AB238" s="19">
        <f t="shared" si="67"/>
        <v>0</v>
      </c>
      <c r="AC238" s="20">
        <v>40391</v>
      </c>
      <c r="AD238" s="20">
        <v>40421</v>
      </c>
      <c r="AE238" s="18"/>
    </row>
    <row r="239" spans="1:31" ht="18" customHeight="1">
      <c r="A239" s="21" t="s">
        <v>138</v>
      </c>
      <c r="B239" s="22"/>
      <c r="C239" s="22"/>
      <c r="D239" s="22">
        <f t="shared" si="68"/>
        <v>0</v>
      </c>
      <c r="E239" s="22">
        <f t="shared" si="68"/>
        <v>0</v>
      </c>
      <c r="F239" s="22"/>
      <c r="G239" s="22">
        <f t="shared" si="64"/>
        <v>0</v>
      </c>
      <c r="H239" s="22"/>
      <c r="I239" s="22">
        <f t="shared" si="72"/>
        <v>0</v>
      </c>
      <c r="J239" s="22">
        <f t="shared" si="73"/>
        <v>0</v>
      </c>
      <c r="K239" s="22">
        <f t="shared" si="69"/>
        <v>0</v>
      </c>
      <c r="L239" s="22">
        <f t="shared" si="70"/>
        <v>0</v>
      </c>
      <c r="M239" s="22">
        <f t="shared" si="70"/>
        <v>0</v>
      </c>
      <c r="N239" s="22">
        <f t="shared" si="71"/>
        <v>0</v>
      </c>
      <c r="O239" s="76"/>
      <c r="Q239" s="18"/>
      <c r="R239" s="18"/>
      <c r="S239" s="18"/>
      <c r="T239" s="18"/>
      <c r="U239" s="18"/>
      <c r="V239" s="19"/>
      <c r="W239" s="19"/>
      <c r="X239" s="19"/>
      <c r="Y239" s="19">
        <f t="shared" si="65"/>
        <v>0</v>
      </c>
      <c r="Z239" s="19">
        <f t="shared" si="66"/>
        <v>0</v>
      </c>
      <c r="AA239" s="19"/>
      <c r="AB239" s="19">
        <f t="shared" si="67"/>
        <v>0</v>
      </c>
      <c r="AC239" s="20">
        <v>40422</v>
      </c>
      <c r="AD239" s="20">
        <v>40451</v>
      </c>
      <c r="AE239" s="18"/>
    </row>
    <row r="240" spans="1:31" ht="18" customHeight="1">
      <c r="A240" s="21" t="s">
        <v>139</v>
      </c>
      <c r="B240" s="22"/>
      <c r="C240" s="22"/>
      <c r="D240" s="22">
        <f t="shared" si="68"/>
        <v>0</v>
      </c>
      <c r="E240" s="22">
        <f t="shared" si="68"/>
        <v>0</v>
      </c>
      <c r="F240" s="22"/>
      <c r="G240" s="22">
        <f t="shared" si="64"/>
        <v>0</v>
      </c>
      <c r="H240" s="22"/>
      <c r="I240" s="22">
        <f t="shared" si="72"/>
        <v>0</v>
      </c>
      <c r="J240" s="22">
        <f t="shared" si="73"/>
        <v>0</v>
      </c>
      <c r="K240" s="22">
        <f t="shared" si="69"/>
        <v>0</v>
      </c>
      <c r="L240" s="22">
        <f t="shared" si="70"/>
        <v>0</v>
      </c>
      <c r="M240" s="22">
        <f t="shared" si="70"/>
        <v>0</v>
      </c>
      <c r="N240" s="22">
        <f t="shared" si="71"/>
        <v>0</v>
      </c>
      <c r="O240" s="76"/>
      <c r="Q240" s="18"/>
      <c r="R240" s="18"/>
      <c r="S240" s="18"/>
      <c r="T240" s="18"/>
      <c r="U240" s="18"/>
      <c r="V240" s="19"/>
      <c r="W240" s="19"/>
      <c r="X240" s="19"/>
      <c r="Y240" s="19">
        <f t="shared" si="65"/>
        <v>0</v>
      </c>
      <c r="Z240" s="19">
        <f t="shared" si="66"/>
        <v>0</v>
      </c>
      <c r="AA240" s="19"/>
      <c r="AB240" s="19">
        <f t="shared" si="67"/>
        <v>0</v>
      </c>
      <c r="AC240" s="20">
        <v>40452</v>
      </c>
      <c r="AD240" s="20">
        <v>40482</v>
      </c>
      <c r="AE240" s="18"/>
    </row>
    <row r="241" spans="1:31" ht="18" customHeight="1">
      <c r="A241" s="21" t="s">
        <v>140</v>
      </c>
      <c r="B241" s="22"/>
      <c r="C241" s="22"/>
      <c r="D241" s="22">
        <f t="shared" si="68"/>
        <v>0</v>
      </c>
      <c r="E241" s="22">
        <f t="shared" si="68"/>
        <v>0</v>
      </c>
      <c r="F241" s="22"/>
      <c r="G241" s="22">
        <f t="shared" si="64"/>
        <v>0</v>
      </c>
      <c r="H241" s="22"/>
      <c r="I241" s="22">
        <f t="shared" si="72"/>
        <v>0</v>
      </c>
      <c r="J241" s="22">
        <f t="shared" si="73"/>
        <v>0</v>
      </c>
      <c r="K241" s="22">
        <f t="shared" si="69"/>
        <v>0</v>
      </c>
      <c r="L241" s="22">
        <f t="shared" si="70"/>
        <v>0</v>
      </c>
      <c r="M241" s="22">
        <f t="shared" si="70"/>
        <v>0</v>
      </c>
      <c r="N241" s="22">
        <f t="shared" si="71"/>
        <v>0</v>
      </c>
      <c r="O241" s="76"/>
      <c r="Q241" s="18"/>
      <c r="R241" s="18"/>
      <c r="S241" s="18"/>
      <c r="T241" s="18"/>
      <c r="U241" s="18"/>
      <c r="V241" s="19"/>
      <c r="W241" s="19"/>
      <c r="X241" s="19"/>
      <c r="Y241" s="19">
        <f t="shared" si="65"/>
        <v>0</v>
      </c>
      <c r="Z241" s="19">
        <f t="shared" si="66"/>
        <v>0</v>
      </c>
      <c r="AA241" s="19"/>
      <c r="AB241" s="19">
        <f t="shared" si="67"/>
        <v>0</v>
      </c>
      <c r="AC241" s="20">
        <v>40483</v>
      </c>
      <c r="AD241" s="20">
        <v>40512</v>
      </c>
      <c r="AE241" s="18"/>
    </row>
    <row r="242" spans="1:31" ht="18" customHeight="1">
      <c r="A242" s="21" t="s">
        <v>141</v>
      </c>
      <c r="B242" s="22"/>
      <c r="C242" s="22"/>
      <c r="D242" s="22">
        <f t="shared" si="68"/>
        <v>0</v>
      </c>
      <c r="E242" s="22">
        <f t="shared" si="68"/>
        <v>0</v>
      </c>
      <c r="F242" s="22"/>
      <c r="G242" s="22">
        <f t="shared" si="64"/>
        <v>0</v>
      </c>
      <c r="H242" s="22"/>
      <c r="I242" s="22">
        <f t="shared" si="72"/>
        <v>0</v>
      </c>
      <c r="J242" s="22">
        <f t="shared" si="73"/>
        <v>0</v>
      </c>
      <c r="K242" s="22">
        <f t="shared" si="69"/>
        <v>0</v>
      </c>
      <c r="L242" s="22">
        <f t="shared" si="70"/>
        <v>0</v>
      </c>
      <c r="M242" s="22">
        <f t="shared" si="70"/>
        <v>0</v>
      </c>
      <c r="N242" s="22">
        <f t="shared" si="71"/>
        <v>0</v>
      </c>
      <c r="O242" s="76"/>
      <c r="Q242" s="18"/>
      <c r="R242" s="18"/>
      <c r="S242" s="18"/>
      <c r="T242" s="18"/>
      <c r="U242" s="18"/>
      <c r="V242" s="19"/>
      <c r="W242" s="19"/>
      <c r="X242" s="19"/>
      <c r="Y242" s="19">
        <f t="shared" si="65"/>
        <v>0</v>
      </c>
      <c r="Z242" s="19">
        <f t="shared" si="66"/>
        <v>0</v>
      </c>
      <c r="AA242" s="19"/>
      <c r="AB242" s="19">
        <f t="shared" si="67"/>
        <v>0</v>
      </c>
      <c r="AC242" s="20">
        <v>40513</v>
      </c>
      <c r="AD242" s="20">
        <v>40543</v>
      </c>
      <c r="AE242" s="18"/>
    </row>
    <row r="243" spans="1:31" ht="18" customHeight="1">
      <c r="A243" s="21" t="s">
        <v>142</v>
      </c>
      <c r="B243" s="22"/>
      <c r="C243" s="22"/>
      <c r="D243" s="22">
        <f t="shared" si="68"/>
        <v>0</v>
      </c>
      <c r="E243" s="22">
        <f t="shared" si="68"/>
        <v>0</v>
      </c>
      <c r="F243" s="22"/>
      <c r="G243" s="22">
        <f t="shared" si="64"/>
        <v>0</v>
      </c>
      <c r="H243" s="22"/>
      <c r="I243" s="22">
        <f t="shared" si="72"/>
        <v>0</v>
      </c>
      <c r="J243" s="22">
        <f t="shared" si="73"/>
        <v>0</v>
      </c>
      <c r="K243" s="22">
        <f t="shared" si="69"/>
        <v>0</v>
      </c>
      <c r="L243" s="22">
        <f t="shared" si="70"/>
        <v>0</v>
      </c>
      <c r="M243" s="22">
        <f t="shared" si="70"/>
        <v>0</v>
      </c>
      <c r="N243" s="22">
        <f t="shared" si="71"/>
        <v>0</v>
      </c>
      <c r="O243" s="76"/>
      <c r="Q243" s="18"/>
      <c r="R243" s="18"/>
      <c r="S243" s="18"/>
      <c r="T243" s="18"/>
      <c r="U243" s="18"/>
      <c r="V243" s="19"/>
      <c r="W243" s="19"/>
      <c r="X243" s="19"/>
      <c r="Y243" s="19">
        <f t="shared" si="65"/>
        <v>0</v>
      </c>
      <c r="Z243" s="19">
        <f t="shared" si="66"/>
        <v>0</v>
      </c>
      <c r="AA243" s="19"/>
      <c r="AB243" s="19">
        <f t="shared" si="67"/>
        <v>0</v>
      </c>
      <c r="AC243" s="20">
        <v>40544</v>
      </c>
      <c r="AD243" s="20">
        <v>40574</v>
      </c>
      <c r="AE243" s="18"/>
    </row>
    <row r="244" spans="1:31" ht="18" customHeight="1">
      <c r="A244" s="21" t="s">
        <v>143</v>
      </c>
      <c r="B244" s="22"/>
      <c r="C244" s="22"/>
      <c r="D244" s="22">
        <f t="shared" si="68"/>
        <v>0</v>
      </c>
      <c r="E244" s="22">
        <f t="shared" si="68"/>
        <v>0</v>
      </c>
      <c r="F244" s="22"/>
      <c r="G244" s="22">
        <f t="shared" si="64"/>
        <v>0</v>
      </c>
      <c r="H244" s="22"/>
      <c r="I244" s="22">
        <f t="shared" si="72"/>
        <v>0</v>
      </c>
      <c r="J244" s="22">
        <f t="shared" si="73"/>
        <v>0</v>
      </c>
      <c r="K244" s="22">
        <f t="shared" si="69"/>
        <v>0</v>
      </c>
      <c r="L244" s="22">
        <f t="shared" si="70"/>
        <v>0</v>
      </c>
      <c r="M244" s="22">
        <f t="shared" si="70"/>
        <v>0</v>
      </c>
      <c r="N244" s="22">
        <f t="shared" si="71"/>
        <v>0</v>
      </c>
      <c r="O244" s="76"/>
      <c r="Q244" s="18"/>
      <c r="R244" s="18"/>
      <c r="S244" s="18"/>
      <c r="T244" s="18"/>
      <c r="U244" s="18"/>
      <c r="V244" s="19"/>
      <c r="W244" s="19"/>
      <c r="X244" s="19"/>
      <c r="Y244" s="19">
        <f t="shared" si="65"/>
        <v>0</v>
      </c>
      <c r="Z244" s="19">
        <f t="shared" si="66"/>
        <v>0</v>
      </c>
      <c r="AA244" s="19"/>
      <c r="AB244" s="19">
        <f t="shared" si="67"/>
        <v>0</v>
      </c>
      <c r="AC244" s="20">
        <v>40575</v>
      </c>
      <c r="AD244" s="20">
        <v>40600</v>
      </c>
      <c r="AE244" s="18"/>
    </row>
    <row r="245" spans="1:31" ht="18" customHeight="1">
      <c r="A245" s="21" t="s">
        <v>144</v>
      </c>
      <c r="B245" s="22"/>
      <c r="C245" s="22"/>
      <c r="D245" s="22">
        <f t="shared" si="68"/>
        <v>0</v>
      </c>
      <c r="E245" s="22">
        <f t="shared" si="68"/>
        <v>0</v>
      </c>
      <c r="F245" s="22"/>
      <c r="G245" s="22">
        <f t="shared" si="64"/>
        <v>0</v>
      </c>
      <c r="H245" s="22"/>
      <c r="I245" s="22">
        <f t="shared" si="72"/>
        <v>0</v>
      </c>
      <c r="J245" s="22">
        <f t="shared" si="73"/>
        <v>0</v>
      </c>
      <c r="K245" s="22">
        <f t="shared" si="69"/>
        <v>0</v>
      </c>
      <c r="L245" s="22">
        <f t="shared" si="70"/>
        <v>0</v>
      </c>
      <c r="M245" s="22">
        <f t="shared" si="70"/>
        <v>0</v>
      </c>
      <c r="N245" s="22">
        <f t="shared" si="71"/>
        <v>0</v>
      </c>
      <c r="O245" s="76"/>
      <c r="Q245" s="18"/>
      <c r="R245" s="18"/>
      <c r="S245" s="18"/>
      <c r="T245" s="18"/>
      <c r="U245" s="18"/>
      <c r="V245" s="19"/>
      <c r="W245" s="19"/>
      <c r="X245" s="19"/>
      <c r="Y245" s="19">
        <f t="shared" si="65"/>
        <v>0</v>
      </c>
      <c r="Z245" s="19">
        <f t="shared" si="66"/>
        <v>0</v>
      </c>
      <c r="AA245" s="19"/>
      <c r="AB245" s="19">
        <f t="shared" si="67"/>
        <v>0</v>
      </c>
      <c r="AC245" s="20">
        <v>40603</v>
      </c>
      <c r="AD245" s="20">
        <v>40633</v>
      </c>
      <c r="AE245" s="18"/>
    </row>
    <row r="246" spans="1:31" ht="18" customHeight="1" thickBot="1">
      <c r="A246" s="34" t="s">
        <v>145</v>
      </c>
      <c r="B246" s="35">
        <f t="shared" ref="B246:N246" si="74">SUM(B234:B245)</f>
        <v>0</v>
      </c>
      <c r="C246" s="35">
        <f t="shared" si="74"/>
        <v>0</v>
      </c>
      <c r="D246" s="35">
        <f t="shared" si="74"/>
        <v>0</v>
      </c>
      <c r="E246" s="35">
        <f t="shared" si="74"/>
        <v>0</v>
      </c>
      <c r="F246" s="35">
        <f t="shared" si="74"/>
        <v>0</v>
      </c>
      <c r="G246" s="35">
        <f t="shared" si="74"/>
        <v>0</v>
      </c>
      <c r="H246" s="35">
        <f t="shared" si="74"/>
        <v>0</v>
      </c>
      <c r="I246" s="35">
        <f t="shared" si="74"/>
        <v>0</v>
      </c>
      <c r="J246" s="35">
        <f t="shared" si="74"/>
        <v>0</v>
      </c>
      <c r="K246" s="35">
        <f t="shared" si="74"/>
        <v>0</v>
      </c>
      <c r="L246" s="35">
        <f t="shared" si="74"/>
        <v>0</v>
      </c>
      <c r="M246" s="35">
        <f t="shared" si="74"/>
        <v>0</v>
      </c>
      <c r="N246" s="35">
        <f t="shared" si="74"/>
        <v>0</v>
      </c>
      <c r="O246" s="97"/>
      <c r="Q246" s="77" t="s">
        <v>36</v>
      </c>
      <c r="R246" s="78"/>
      <c r="S246" s="78"/>
      <c r="T246" s="79"/>
      <c r="U246" s="27"/>
      <c r="V246" s="28">
        <f t="shared" ref="V246:AB246" si="75">SUM(V234:V245)</f>
        <v>0</v>
      </c>
      <c r="W246" s="28">
        <f t="shared" si="75"/>
        <v>0</v>
      </c>
      <c r="X246" s="28">
        <f t="shared" si="75"/>
        <v>0</v>
      </c>
      <c r="Y246" s="28">
        <f t="shared" si="75"/>
        <v>0</v>
      </c>
      <c r="Z246" s="28">
        <f t="shared" si="75"/>
        <v>0</v>
      </c>
      <c r="AA246" s="28">
        <f t="shared" si="75"/>
        <v>0</v>
      </c>
      <c r="AB246" s="28">
        <f t="shared" si="75"/>
        <v>0</v>
      </c>
      <c r="AC246" s="18"/>
      <c r="AD246" s="18"/>
      <c r="AE246" s="18"/>
    </row>
    <row r="247" spans="1:31" ht="15.75" thickBot="1">
      <c r="A247" s="9"/>
      <c r="B247" s="9"/>
      <c r="C247" s="9"/>
      <c r="D247" s="9"/>
      <c r="E247" s="9"/>
      <c r="G247" s="9"/>
      <c r="H247" s="9"/>
      <c r="I247" s="9"/>
      <c r="J247" s="9"/>
      <c r="N247" s="15"/>
    </row>
    <row r="248" spans="1:31" ht="18" customHeight="1" thickBot="1">
      <c r="A248" s="9"/>
      <c r="B248" s="11"/>
      <c r="C248" s="11"/>
      <c r="D248" s="11"/>
      <c r="E248" s="9"/>
      <c r="F248" s="8">
        <v>1</v>
      </c>
      <c r="G248" s="56" t="s">
        <v>59</v>
      </c>
      <c r="H248" s="57"/>
      <c r="I248" s="57"/>
      <c r="J248" s="57"/>
      <c r="K248" s="58"/>
      <c r="L248" s="25">
        <f>K230</f>
        <v>0</v>
      </c>
      <c r="M248" s="5"/>
      <c r="O248" s="1"/>
      <c r="S248" s="29"/>
      <c r="T248" s="29"/>
      <c r="U248" s="29"/>
      <c r="AA248" s="15"/>
      <c r="AB248" s="15"/>
    </row>
    <row r="249" spans="1:31" ht="18" customHeight="1" thickBot="1">
      <c r="A249" s="9"/>
      <c r="B249" s="11"/>
      <c r="C249" s="11"/>
      <c r="D249" s="11"/>
      <c r="E249" s="9"/>
      <c r="F249" s="8">
        <v>2</v>
      </c>
      <c r="G249" s="56" t="s">
        <v>60</v>
      </c>
      <c r="H249" s="57"/>
      <c r="I249" s="57"/>
      <c r="J249" s="57"/>
      <c r="K249" s="58"/>
      <c r="L249" s="25">
        <f>B246+C246</f>
        <v>0</v>
      </c>
      <c r="M249" s="5"/>
      <c r="O249" s="1"/>
      <c r="S249" s="29"/>
      <c r="T249" s="29"/>
      <c r="U249" s="29"/>
      <c r="AA249" s="15"/>
      <c r="AB249" s="15"/>
    </row>
    <row r="250" spans="1:31" ht="18" customHeight="1" thickBot="1">
      <c r="A250" s="9"/>
      <c r="B250" s="11"/>
      <c r="C250" s="11"/>
      <c r="D250" s="11"/>
      <c r="E250" s="9"/>
      <c r="F250" s="8">
        <v>3</v>
      </c>
      <c r="G250" s="56" t="s">
        <v>113</v>
      </c>
      <c r="H250" s="57"/>
      <c r="I250" s="57"/>
      <c r="J250" s="57"/>
      <c r="K250" s="58"/>
      <c r="L250" s="25">
        <f>F246</f>
        <v>0</v>
      </c>
      <c r="M250" s="5"/>
      <c r="O250" s="1"/>
      <c r="S250" s="29"/>
      <c r="T250" s="29"/>
      <c r="U250" s="29"/>
      <c r="AA250" s="15"/>
      <c r="AB250" s="15"/>
    </row>
    <row r="251" spans="1:31" ht="18" customHeight="1" thickBot="1">
      <c r="A251" s="9"/>
      <c r="B251" s="11"/>
      <c r="C251" s="11"/>
      <c r="D251" s="11"/>
      <c r="E251" s="9"/>
      <c r="F251" s="8">
        <v>4</v>
      </c>
      <c r="G251" s="56" t="s">
        <v>62</v>
      </c>
      <c r="H251" s="57"/>
      <c r="I251" s="57"/>
      <c r="J251" s="57"/>
      <c r="K251" s="58"/>
      <c r="L251" s="25">
        <f>L249+L250</f>
        <v>0</v>
      </c>
      <c r="M251" s="5"/>
      <c r="O251" s="1"/>
      <c r="S251" s="29"/>
      <c r="T251" s="29"/>
      <c r="U251" s="29"/>
      <c r="AA251" s="15"/>
      <c r="AB251" s="15"/>
    </row>
    <row r="252" spans="1:31" ht="18" customHeight="1" thickBot="1">
      <c r="A252" s="9"/>
      <c r="B252" s="11"/>
      <c r="C252" s="11"/>
      <c r="D252" s="11"/>
      <c r="E252" s="9"/>
      <c r="F252" s="8">
        <v>5</v>
      </c>
      <c r="G252" s="56" t="s">
        <v>18</v>
      </c>
      <c r="H252" s="57"/>
      <c r="I252" s="57"/>
      <c r="J252" s="57"/>
      <c r="K252" s="58"/>
      <c r="L252" s="25">
        <f>D246+E246</f>
        <v>0</v>
      </c>
      <c r="M252" s="5"/>
      <c r="O252" s="1"/>
      <c r="S252" s="29"/>
      <c r="T252" s="29"/>
      <c r="U252" s="29"/>
      <c r="AA252" s="15"/>
      <c r="AB252" s="15"/>
    </row>
    <row r="253" spans="1:31" ht="18" customHeight="1" thickBot="1">
      <c r="A253" s="9"/>
      <c r="B253" s="9"/>
      <c r="C253" s="9"/>
      <c r="D253" s="9"/>
      <c r="E253" s="9"/>
      <c r="F253" s="8">
        <v>6</v>
      </c>
      <c r="G253" s="56" t="s">
        <v>63</v>
      </c>
      <c r="H253" s="57"/>
      <c r="I253" s="57"/>
      <c r="J253" s="57"/>
      <c r="K253" s="58"/>
      <c r="L253" s="25">
        <f>L248+L251+L252</f>
        <v>0</v>
      </c>
      <c r="M253" s="5"/>
      <c r="O253" s="1"/>
      <c r="S253" s="29"/>
      <c r="T253" s="29"/>
      <c r="U253" s="29"/>
      <c r="AA253" s="15"/>
      <c r="AB253" s="15"/>
    </row>
    <row r="254" spans="1:31" ht="18" customHeight="1" thickBot="1">
      <c r="A254" s="9"/>
      <c r="B254" s="9"/>
      <c r="C254" s="9"/>
      <c r="D254" s="9"/>
      <c r="E254" s="9"/>
      <c r="F254" s="8">
        <v>7</v>
      </c>
      <c r="G254" s="56" t="s">
        <v>64</v>
      </c>
      <c r="H254" s="57"/>
      <c r="I254" s="57"/>
      <c r="J254" s="57"/>
      <c r="K254" s="58"/>
      <c r="L254" s="25">
        <f>H246</f>
        <v>0</v>
      </c>
      <c r="M254" s="5"/>
      <c r="O254" s="1"/>
      <c r="S254" s="29"/>
      <c r="T254" s="29"/>
      <c r="U254" s="29"/>
      <c r="AA254" s="15"/>
      <c r="AB254" s="15"/>
    </row>
    <row r="255" spans="1:31" ht="18" customHeight="1" thickBot="1">
      <c r="A255" s="9"/>
      <c r="B255" s="9"/>
      <c r="C255" s="9"/>
      <c r="D255" s="9"/>
      <c r="E255" s="9"/>
      <c r="F255" s="8">
        <v>8</v>
      </c>
      <c r="G255" s="56" t="s">
        <v>25</v>
      </c>
      <c r="H255" s="57"/>
      <c r="I255" s="57"/>
      <c r="J255" s="57"/>
      <c r="K255" s="58"/>
      <c r="L255" s="25">
        <f>L246</f>
        <v>0</v>
      </c>
      <c r="M255" s="5"/>
      <c r="O255" s="1"/>
      <c r="S255" s="29"/>
      <c r="T255" s="29"/>
      <c r="U255" s="29"/>
      <c r="AA255" s="15"/>
      <c r="AB255" s="15"/>
    </row>
    <row r="256" spans="1:31" ht="18" customHeight="1" thickBot="1">
      <c r="A256" s="9"/>
      <c r="B256" s="9"/>
      <c r="C256" s="9"/>
      <c r="D256" s="9"/>
      <c r="E256" s="9"/>
      <c r="F256" s="8">
        <v>9</v>
      </c>
      <c r="G256" s="56" t="s">
        <v>26</v>
      </c>
      <c r="H256" s="57"/>
      <c r="I256" s="57"/>
      <c r="J256" s="57"/>
      <c r="K256" s="58"/>
      <c r="L256" s="25">
        <f>M246</f>
        <v>0</v>
      </c>
      <c r="M256" s="5"/>
      <c r="O256" s="1"/>
      <c r="S256" s="29"/>
      <c r="T256" s="29"/>
      <c r="U256" s="29"/>
      <c r="AA256" s="15"/>
      <c r="AB256" s="15"/>
    </row>
    <row r="257" spans="1:28" ht="18" customHeight="1" thickBot="1">
      <c r="A257" s="9"/>
      <c r="B257" s="9"/>
      <c r="C257" s="9"/>
      <c r="D257" s="9"/>
      <c r="E257" s="9"/>
      <c r="F257" s="8">
        <v>10</v>
      </c>
      <c r="G257" s="56" t="s">
        <v>65</v>
      </c>
      <c r="H257" s="57"/>
      <c r="I257" s="57"/>
      <c r="J257" s="57"/>
      <c r="K257" s="58"/>
      <c r="L257" s="25">
        <f>N246</f>
        <v>0</v>
      </c>
      <c r="M257" s="5"/>
      <c r="O257" s="1"/>
      <c r="S257" s="29"/>
      <c r="T257" s="29"/>
      <c r="U257" s="29"/>
      <c r="AA257" s="15"/>
      <c r="AB257" s="15"/>
    </row>
    <row r="258" spans="1:28" ht="18" customHeight="1" thickBot="1">
      <c r="A258" s="9"/>
      <c r="B258" s="9"/>
      <c r="C258" s="9"/>
      <c r="D258" s="9"/>
      <c r="E258" s="9"/>
      <c r="F258" s="8">
        <v>11</v>
      </c>
      <c r="G258" s="57" t="s">
        <v>146</v>
      </c>
      <c r="H258" s="57"/>
      <c r="I258" s="57"/>
      <c r="J258" s="57"/>
      <c r="K258" s="58"/>
      <c r="L258" s="25">
        <f>L253-L254+L257</f>
        <v>0</v>
      </c>
      <c r="M258" s="5"/>
      <c r="O258" s="1"/>
      <c r="S258" s="29"/>
      <c r="T258" s="29"/>
      <c r="U258" s="29"/>
      <c r="AA258" s="15"/>
      <c r="AB258" s="15"/>
    </row>
    <row r="259" spans="1:28">
      <c r="A259" s="9"/>
      <c r="B259" s="9"/>
      <c r="C259" s="9"/>
      <c r="D259" s="9"/>
      <c r="E259" s="9"/>
      <c r="F259" s="9"/>
      <c r="G259" s="30"/>
      <c r="H259" s="30"/>
      <c r="I259" s="30"/>
      <c r="J259" s="30"/>
      <c r="K259" s="30"/>
      <c r="L259" s="30"/>
      <c r="M259" s="30"/>
      <c r="N259" s="11"/>
    </row>
    <row r="260" spans="1:28"/>
    <row r="261" spans="1:28"/>
    <row r="262" spans="1:28" ht="18">
      <c r="A262" s="73" t="s">
        <v>2</v>
      </c>
      <c r="B262" s="73"/>
      <c r="C262" s="3"/>
      <c r="D262" s="3"/>
      <c r="E262" s="73" t="s">
        <v>3</v>
      </c>
      <c r="F262" s="73"/>
      <c r="G262" s="73"/>
      <c r="H262" s="74" t="s">
        <v>4</v>
      </c>
      <c r="I262" s="74"/>
      <c r="J262" s="74"/>
      <c r="K262" s="74"/>
      <c r="L262" s="74"/>
      <c r="M262" s="74"/>
      <c r="N262" s="74"/>
    </row>
    <row r="263" spans="1:28" ht="18">
      <c r="A263" s="3"/>
      <c r="B263" s="3"/>
      <c r="C263" s="3"/>
      <c r="D263" s="3"/>
      <c r="E263" s="3"/>
      <c r="F263" s="3"/>
      <c r="G263" s="4"/>
      <c r="H263" s="4"/>
      <c r="I263" s="4"/>
      <c r="J263" s="4"/>
    </row>
    <row r="264" spans="1:28" ht="18">
      <c r="A264" s="3"/>
      <c r="B264" s="3"/>
      <c r="C264" s="3"/>
      <c r="D264" s="3"/>
      <c r="E264" s="3"/>
      <c r="F264" s="3"/>
      <c r="G264" s="4"/>
      <c r="H264" s="4"/>
      <c r="I264" s="4"/>
      <c r="J264" s="4"/>
    </row>
    <row r="265" spans="1:28" ht="18.75">
      <c r="A265" s="67" t="s">
        <v>0</v>
      </c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</row>
    <row r="266" spans="1:28" ht="18.75">
      <c r="A266" s="67" t="s">
        <v>1</v>
      </c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</row>
    <row r="267" spans="1:28"/>
    <row r="268" spans="1:28" ht="15.75" thickBot="1">
      <c r="A268" s="95" t="s">
        <v>147</v>
      </c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</row>
    <row r="269" spans="1:28" ht="36" customHeight="1" thickBot="1">
      <c r="A269" s="7" t="s">
        <v>7</v>
      </c>
      <c r="B269" s="8">
        <f>B226</f>
        <v>0</v>
      </c>
      <c r="C269" s="9"/>
      <c r="D269" s="9"/>
      <c r="E269" s="56" t="s">
        <v>8</v>
      </c>
      <c r="F269" s="58">
        <f>F226</f>
        <v>0</v>
      </c>
      <c r="G269" s="9"/>
      <c r="H269" s="56">
        <f>H226</f>
        <v>0</v>
      </c>
      <c r="I269" s="57"/>
      <c r="J269" s="57"/>
      <c r="K269" s="57"/>
      <c r="L269" s="57"/>
      <c r="M269" s="57"/>
      <c r="N269" s="57"/>
      <c r="O269" s="58"/>
    </row>
    <row r="270" spans="1:28" ht="15.75" thickBo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11"/>
      <c r="L270" s="11"/>
      <c r="M270" s="11"/>
      <c r="N270" s="9"/>
    </row>
    <row r="271" spans="1:28" ht="36" customHeight="1" thickBot="1">
      <c r="A271" s="7" t="s">
        <v>9</v>
      </c>
      <c r="B271" s="7">
        <f>B228</f>
        <v>0</v>
      </c>
      <c r="C271" s="9"/>
      <c r="D271" s="9"/>
      <c r="E271" s="7" t="s">
        <v>10</v>
      </c>
      <c r="F271" s="7">
        <f>F228</f>
        <v>0</v>
      </c>
      <c r="G271" s="9"/>
      <c r="H271" s="7" t="s">
        <v>11</v>
      </c>
      <c r="I271" s="56">
        <f>I228</f>
        <v>0</v>
      </c>
      <c r="J271" s="57"/>
      <c r="K271" s="57">
        <f>K228</f>
        <v>0</v>
      </c>
      <c r="L271" s="57"/>
      <c r="M271" s="57"/>
      <c r="N271" s="57"/>
      <c r="O271" s="58"/>
    </row>
    <row r="272" spans="1:28" ht="15.75" thickBo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11"/>
      <c r="L272" s="11"/>
      <c r="M272" s="11"/>
      <c r="N272" s="9"/>
    </row>
    <row r="273" spans="1:31" ht="24" customHeight="1" thickBot="1">
      <c r="A273" s="7" t="s">
        <v>12</v>
      </c>
      <c r="B273" s="12">
        <v>0.08</v>
      </c>
      <c r="C273" s="9"/>
      <c r="D273" s="9"/>
      <c r="E273" s="7" t="s">
        <v>13</v>
      </c>
      <c r="F273" s="12">
        <v>8.5999999999999993E-2</v>
      </c>
      <c r="G273" s="9"/>
      <c r="H273" s="87" t="s">
        <v>14</v>
      </c>
      <c r="I273" s="88"/>
      <c r="J273" s="89"/>
      <c r="K273" s="90">
        <f>L258</f>
        <v>0</v>
      </c>
      <c r="L273" s="91"/>
      <c r="M273" s="91"/>
      <c r="N273" s="91"/>
      <c r="O273" s="92"/>
      <c r="Q273" s="75" t="s">
        <v>147</v>
      </c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</row>
    <row r="274" spans="1:31" ht="15.75" thickBo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11"/>
      <c r="L274" s="11"/>
      <c r="M274" s="11"/>
      <c r="N274" s="9"/>
    </row>
    <row r="275" spans="1:31" ht="39.950000000000003" customHeight="1" thickBot="1">
      <c r="A275" s="81" t="s">
        <v>16</v>
      </c>
      <c r="B275" s="93" t="s">
        <v>17</v>
      </c>
      <c r="C275" s="94"/>
      <c r="D275" s="93" t="s">
        <v>18</v>
      </c>
      <c r="E275" s="94"/>
      <c r="F275" s="81" t="s">
        <v>19</v>
      </c>
      <c r="G275" s="81" t="s">
        <v>20</v>
      </c>
      <c r="H275" s="81" t="s">
        <v>21</v>
      </c>
      <c r="I275" s="81" t="s">
        <v>22</v>
      </c>
      <c r="J275" s="81" t="s">
        <v>23</v>
      </c>
      <c r="K275" s="83" t="s">
        <v>24</v>
      </c>
      <c r="L275" s="83" t="s">
        <v>25</v>
      </c>
      <c r="M275" s="83" t="s">
        <v>26</v>
      </c>
      <c r="N275" s="83" t="s">
        <v>27</v>
      </c>
      <c r="O275" s="85" t="s">
        <v>28</v>
      </c>
      <c r="Q275" s="75" t="s">
        <v>29</v>
      </c>
      <c r="R275" s="75" t="s">
        <v>30</v>
      </c>
      <c r="S275" s="75" t="s">
        <v>31</v>
      </c>
      <c r="T275" s="75" t="s">
        <v>32</v>
      </c>
      <c r="U275" s="75" t="s">
        <v>264</v>
      </c>
      <c r="V275" s="80" t="s">
        <v>33</v>
      </c>
      <c r="W275" s="80" t="s">
        <v>34</v>
      </c>
      <c r="X275" s="80" t="s">
        <v>35</v>
      </c>
      <c r="Y275" s="80" t="s">
        <v>36</v>
      </c>
      <c r="Z275" s="80" t="s">
        <v>37</v>
      </c>
      <c r="AA275" s="80" t="s">
        <v>38</v>
      </c>
      <c r="AB275" s="80" t="s">
        <v>39</v>
      </c>
      <c r="AC275" s="75" t="s">
        <v>40</v>
      </c>
      <c r="AD275" s="75" t="s">
        <v>41</v>
      </c>
      <c r="AE275" s="75" t="s">
        <v>42</v>
      </c>
    </row>
    <row r="276" spans="1:31" ht="39.950000000000003" customHeight="1" thickBot="1">
      <c r="A276" s="82"/>
      <c r="B276" s="7" t="s">
        <v>43</v>
      </c>
      <c r="C276" s="7" t="s">
        <v>44</v>
      </c>
      <c r="D276" s="7" t="s">
        <v>43</v>
      </c>
      <c r="E276" s="7" t="s">
        <v>44</v>
      </c>
      <c r="F276" s="82"/>
      <c r="G276" s="82"/>
      <c r="H276" s="82"/>
      <c r="I276" s="82"/>
      <c r="J276" s="82"/>
      <c r="K276" s="84"/>
      <c r="L276" s="84"/>
      <c r="M276" s="84"/>
      <c r="N276" s="84"/>
      <c r="O276" s="86"/>
      <c r="Q276" s="75"/>
      <c r="R276" s="75"/>
      <c r="S276" s="75"/>
      <c r="T276" s="75"/>
      <c r="U276" s="75"/>
      <c r="V276" s="80"/>
      <c r="W276" s="80"/>
      <c r="X276" s="80"/>
      <c r="Y276" s="80"/>
      <c r="Z276" s="80"/>
      <c r="AA276" s="80"/>
      <c r="AB276" s="80"/>
      <c r="AC276" s="75"/>
      <c r="AD276" s="75"/>
      <c r="AE276" s="75"/>
    </row>
    <row r="277" spans="1:31" ht="18" customHeight="1">
      <c r="A277" s="21" t="s">
        <v>148</v>
      </c>
      <c r="B277" s="22"/>
      <c r="C277" s="22"/>
      <c r="D277" s="22">
        <f>B277</f>
        <v>0</v>
      </c>
      <c r="E277" s="22">
        <f>C277</f>
        <v>0</v>
      </c>
      <c r="F277" s="22"/>
      <c r="G277" s="22">
        <f t="shared" ref="G277:G288" si="76">(B277+C277+F277)+(D277+E277)</f>
        <v>0</v>
      </c>
      <c r="H277" s="22"/>
      <c r="I277" s="22">
        <f>(K273+B277+C277+F277)-H277</f>
        <v>0</v>
      </c>
      <c r="J277" s="22">
        <f>(D277+E277)</f>
        <v>0</v>
      </c>
      <c r="K277" s="22">
        <f>(K273+G277)-H277</f>
        <v>0</v>
      </c>
      <c r="L277" s="22">
        <f>ROUND((I277*8/100)/12,0)</f>
        <v>0</v>
      </c>
      <c r="M277" s="22">
        <f>ROUND((J277*8/100)/12,0)</f>
        <v>0</v>
      </c>
      <c r="N277" s="22">
        <f>L277+M277</f>
        <v>0</v>
      </c>
      <c r="O277" s="76" t="s">
        <v>46</v>
      </c>
      <c r="Q277" s="18"/>
      <c r="R277" s="18"/>
      <c r="S277" s="18"/>
      <c r="T277" s="18"/>
      <c r="U277" s="18"/>
      <c r="V277" s="19">
        <v>0</v>
      </c>
      <c r="W277" s="19">
        <v>0</v>
      </c>
      <c r="X277" s="19">
        <v>0</v>
      </c>
      <c r="Y277" s="19">
        <f t="shared" ref="Y277:Y288" si="77">V277+W277+X277</f>
        <v>0</v>
      </c>
      <c r="Z277" s="19">
        <f t="shared" ref="Z277:Z288" si="78">ROUND(Y277*10%,0)</f>
        <v>0</v>
      </c>
      <c r="AA277" s="19">
        <v>0</v>
      </c>
      <c r="AB277" s="19">
        <f t="shared" ref="AB277:AB288" si="79">AA277-Z277</f>
        <v>0</v>
      </c>
      <c r="AC277" s="20">
        <v>40634</v>
      </c>
      <c r="AD277" s="20">
        <v>40663</v>
      </c>
      <c r="AE277" s="18"/>
    </row>
    <row r="278" spans="1:31" ht="18" customHeight="1">
      <c r="A278" s="21" t="s">
        <v>149</v>
      </c>
      <c r="B278" s="22"/>
      <c r="C278" s="22"/>
      <c r="D278" s="22">
        <f t="shared" ref="D278:E288" si="80">B278</f>
        <v>0</v>
      </c>
      <c r="E278" s="22">
        <f t="shared" si="80"/>
        <v>0</v>
      </c>
      <c r="F278" s="22"/>
      <c r="G278" s="22">
        <f t="shared" si="76"/>
        <v>0</v>
      </c>
      <c r="H278" s="22"/>
      <c r="I278" s="22">
        <f t="shared" ref="I278:I288" si="81">(I277+B278+C278+F278)-H278</f>
        <v>0</v>
      </c>
      <c r="J278" s="22">
        <f t="shared" ref="J278:J288" si="82">(J277+D278+E278)</f>
        <v>0</v>
      </c>
      <c r="K278" s="22">
        <f t="shared" ref="K278:K288" si="83">(K277+G278)-H278</f>
        <v>0</v>
      </c>
      <c r="L278" s="22">
        <f t="shared" ref="L278:M284" si="84">ROUND((I278*8/100)/12,0)</f>
        <v>0</v>
      </c>
      <c r="M278" s="22">
        <f t="shared" si="84"/>
        <v>0</v>
      </c>
      <c r="N278" s="22">
        <f t="shared" ref="N278:N288" si="85">L278+M278</f>
        <v>0</v>
      </c>
      <c r="O278" s="76"/>
      <c r="Q278" s="18"/>
      <c r="R278" s="18"/>
      <c r="S278" s="18"/>
      <c r="T278" s="18"/>
      <c r="U278" s="18"/>
      <c r="V278" s="19">
        <v>0</v>
      </c>
      <c r="W278" s="19">
        <v>0</v>
      </c>
      <c r="X278" s="19">
        <v>0</v>
      </c>
      <c r="Y278" s="19">
        <f t="shared" si="77"/>
        <v>0</v>
      </c>
      <c r="Z278" s="19">
        <f t="shared" si="78"/>
        <v>0</v>
      </c>
      <c r="AA278" s="19">
        <v>0</v>
      </c>
      <c r="AB278" s="19">
        <f t="shared" si="79"/>
        <v>0</v>
      </c>
      <c r="AC278" s="20">
        <v>40664</v>
      </c>
      <c r="AD278" s="20">
        <v>40693</v>
      </c>
      <c r="AE278" s="18"/>
    </row>
    <row r="279" spans="1:31" ht="18" customHeight="1">
      <c r="A279" s="21" t="s">
        <v>150</v>
      </c>
      <c r="B279" s="22"/>
      <c r="C279" s="22"/>
      <c r="D279" s="22">
        <f t="shared" si="80"/>
        <v>0</v>
      </c>
      <c r="E279" s="22">
        <f t="shared" si="80"/>
        <v>0</v>
      </c>
      <c r="F279" s="22"/>
      <c r="G279" s="22">
        <f t="shared" si="76"/>
        <v>0</v>
      </c>
      <c r="H279" s="22"/>
      <c r="I279" s="22">
        <f t="shared" si="81"/>
        <v>0</v>
      </c>
      <c r="J279" s="22">
        <f t="shared" si="82"/>
        <v>0</v>
      </c>
      <c r="K279" s="22">
        <f t="shared" si="83"/>
        <v>0</v>
      </c>
      <c r="L279" s="22">
        <f t="shared" si="84"/>
        <v>0</v>
      </c>
      <c r="M279" s="22">
        <f t="shared" si="84"/>
        <v>0</v>
      </c>
      <c r="N279" s="22">
        <f t="shared" si="85"/>
        <v>0</v>
      </c>
      <c r="O279" s="76"/>
      <c r="Q279" s="18"/>
      <c r="R279" s="18"/>
      <c r="S279" s="18"/>
      <c r="T279" s="18"/>
      <c r="U279" s="18"/>
      <c r="V279" s="19">
        <v>0</v>
      </c>
      <c r="W279" s="19">
        <v>0</v>
      </c>
      <c r="X279" s="19">
        <v>0</v>
      </c>
      <c r="Y279" s="19">
        <f t="shared" si="77"/>
        <v>0</v>
      </c>
      <c r="Z279" s="19">
        <f t="shared" si="78"/>
        <v>0</v>
      </c>
      <c r="AA279" s="19">
        <v>0</v>
      </c>
      <c r="AB279" s="19">
        <f t="shared" si="79"/>
        <v>0</v>
      </c>
      <c r="AC279" s="20">
        <v>40695</v>
      </c>
      <c r="AD279" s="20">
        <v>40724</v>
      </c>
      <c r="AE279" s="18"/>
    </row>
    <row r="280" spans="1:31" ht="18" customHeight="1">
      <c r="A280" s="21" t="s">
        <v>151</v>
      </c>
      <c r="B280" s="22"/>
      <c r="C280" s="22"/>
      <c r="D280" s="22">
        <f t="shared" si="80"/>
        <v>0</v>
      </c>
      <c r="E280" s="22">
        <f t="shared" si="80"/>
        <v>0</v>
      </c>
      <c r="F280" s="22"/>
      <c r="G280" s="22">
        <f t="shared" si="76"/>
        <v>0</v>
      </c>
      <c r="H280" s="22"/>
      <c r="I280" s="22">
        <f t="shared" si="81"/>
        <v>0</v>
      </c>
      <c r="J280" s="22">
        <f t="shared" si="82"/>
        <v>0</v>
      </c>
      <c r="K280" s="22">
        <f t="shared" si="83"/>
        <v>0</v>
      </c>
      <c r="L280" s="22">
        <f t="shared" si="84"/>
        <v>0</v>
      </c>
      <c r="M280" s="22">
        <f t="shared" si="84"/>
        <v>0</v>
      </c>
      <c r="N280" s="22">
        <f t="shared" si="85"/>
        <v>0</v>
      </c>
      <c r="O280" s="76"/>
      <c r="Q280" s="18"/>
      <c r="R280" s="18"/>
      <c r="S280" s="18"/>
      <c r="T280" s="18"/>
      <c r="U280" s="18"/>
      <c r="V280" s="19">
        <v>0</v>
      </c>
      <c r="W280" s="19">
        <v>0</v>
      </c>
      <c r="X280" s="19">
        <v>0</v>
      </c>
      <c r="Y280" s="19">
        <f t="shared" si="77"/>
        <v>0</v>
      </c>
      <c r="Z280" s="19">
        <f t="shared" si="78"/>
        <v>0</v>
      </c>
      <c r="AA280" s="19">
        <v>0</v>
      </c>
      <c r="AB280" s="19">
        <f t="shared" si="79"/>
        <v>0</v>
      </c>
      <c r="AC280" s="20">
        <v>40725</v>
      </c>
      <c r="AD280" s="20">
        <v>40755</v>
      </c>
      <c r="AE280" s="18"/>
    </row>
    <row r="281" spans="1:31" ht="18" customHeight="1">
      <c r="A281" s="21" t="s">
        <v>152</v>
      </c>
      <c r="B281" s="22"/>
      <c r="C281" s="22"/>
      <c r="D281" s="22">
        <f>B281</f>
        <v>0</v>
      </c>
      <c r="E281" s="22">
        <f>C281</f>
        <v>0</v>
      </c>
      <c r="F281" s="22"/>
      <c r="G281" s="22">
        <f>(B281+C281+F281)+(D281+E281)</f>
        <v>0</v>
      </c>
      <c r="H281" s="22"/>
      <c r="I281" s="22">
        <f t="shared" si="81"/>
        <v>0</v>
      </c>
      <c r="J281" s="22">
        <f t="shared" si="82"/>
        <v>0</v>
      </c>
      <c r="K281" s="22">
        <f t="shared" si="83"/>
        <v>0</v>
      </c>
      <c r="L281" s="22">
        <f>ROUND((I281*8/100)/12,0)</f>
        <v>0</v>
      </c>
      <c r="M281" s="22">
        <f>ROUND((J281*8/100)/12,0)</f>
        <v>0</v>
      </c>
      <c r="N281" s="22">
        <f>L281+M281</f>
        <v>0</v>
      </c>
      <c r="O281" s="76"/>
      <c r="Q281" s="18"/>
      <c r="R281" s="18"/>
      <c r="S281" s="18"/>
      <c r="T281" s="18"/>
      <c r="U281" s="18"/>
      <c r="V281" s="19">
        <v>0</v>
      </c>
      <c r="W281" s="19">
        <v>0</v>
      </c>
      <c r="X281" s="19">
        <v>0</v>
      </c>
      <c r="Y281" s="19">
        <f t="shared" si="77"/>
        <v>0</v>
      </c>
      <c r="Z281" s="19">
        <f t="shared" si="78"/>
        <v>0</v>
      </c>
      <c r="AA281" s="19">
        <v>0</v>
      </c>
      <c r="AB281" s="19">
        <f t="shared" si="79"/>
        <v>0</v>
      </c>
      <c r="AC281" s="20">
        <v>44409</v>
      </c>
      <c r="AD281" s="20">
        <v>40786</v>
      </c>
      <c r="AE281" s="18"/>
    </row>
    <row r="282" spans="1:31" ht="18" customHeight="1">
      <c r="A282" s="21" t="s">
        <v>153</v>
      </c>
      <c r="B282" s="22"/>
      <c r="C282" s="22"/>
      <c r="D282" s="22">
        <f t="shared" si="80"/>
        <v>0</v>
      </c>
      <c r="E282" s="22">
        <f t="shared" si="80"/>
        <v>0</v>
      </c>
      <c r="F282" s="22"/>
      <c r="G282" s="22">
        <f t="shared" si="76"/>
        <v>0</v>
      </c>
      <c r="H282" s="22"/>
      <c r="I282" s="22">
        <f t="shared" si="81"/>
        <v>0</v>
      </c>
      <c r="J282" s="22">
        <f t="shared" si="82"/>
        <v>0</v>
      </c>
      <c r="K282" s="22">
        <f t="shared" si="83"/>
        <v>0</v>
      </c>
      <c r="L282" s="22">
        <f t="shared" si="84"/>
        <v>0</v>
      </c>
      <c r="M282" s="22">
        <f t="shared" si="84"/>
        <v>0</v>
      </c>
      <c r="N282" s="22">
        <f t="shared" si="85"/>
        <v>0</v>
      </c>
      <c r="O282" s="76"/>
      <c r="Q282" s="18"/>
      <c r="R282" s="18"/>
      <c r="S282" s="18"/>
      <c r="T282" s="18"/>
      <c r="U282" s="18"/>
      <c r="V282" s="19">
        <v>0</v>
      </c>
      <c r="W282" s="19">
        <v>0</v>
      </c>
      <c r="X282" s="19">
        <v>0</v>
      </c>
      <c r="Y282" s="19">
        <f t="shared" si="77"/>
        <v>0</v>
      </c>
      <c r="Z282" s="19">
        <f t="shared" si="78"/>
        <v>0</v>
      </c>
      <c r="AA282" s="19">
        <v>0</v>
      </c>
      <c r="AB282" s="19">
        <f t="shared" si="79"/>
        <v>0</v>
      </c>
      <c r="AC282" s="20">
        <v>40787</v>
      </c>
      <c r="AD282" s="20">
        <v>40816</v>
      </c>
      <c r="AE282" s="18"/>
    </row>
    <row r="283" spans="1:31" ht="18" customHeight="1">
      <c r="A283" s="36" t="s">
        <v>154</v>
      </c>
      <c r="B283" s="22"/>
      <c r="C283" s="22"/>
      <c r="D283" s="22">
        <f t="shared" si="80"/>
        <v>0</v>
      </c>
      <c r="E283" s="22">
        <f t="shared" si="80"/>
        <v>0</v>
      </c>
      <c r="F283" s="22"/>
      <c r="G283" s="22">
        <f t="shared" si="76"/>
        <v>0</v>
      </c>
      <c r="H283" s="22"/>
      <c r="I283" s="22">
        <f t="shared" si="81"/>
        <v>0</v>
      </c>
      <c r="J283" s="22">
        <f t="shared" si="82"/>
        <v>0</v>
      </c>
      <c r="K283" s="22">
        <f t="shared" si="83"/>
        <v>0</v>
      </c>
      <c r="L283" s="22">
        <f t="shared" si="84"/>
        <v>0</v>
      </c>
      <c r="M283" s="22">
        <f t="shared" si="84"/>
        <v>0</v>
      </c>
      <c r="N283" s="22">
        <f t="shared" si="85"/>
        <v>0</v>
      </c>
      <c r="O283" s="76"/>
      <c r="Q283" s="18"/>
      <c r="R283" s="18"/>
      <c r="S283" s="18"/>
      <c r="T283" s="18"/>
      <c r="U283" s="18"/>
      <c r="V283" s="19">
        <v>0</v>
      </c>
      <c r="W283" s="19">
        <v>0</v>
      </c>
      <c r="X283" s="19">
        <v>0</v>
      </c>
      <c r="Y283" s="19">
        <f t="shared" si="77"/>
        <v>0</v>
      </c>
      <c r="Z283" s="19">
        <f t="shared" si="78"/>
        <v>0</v>
      </c>
      <c r="AA283" s="19">
        <v>0</v>
      </c>
      <c r="AB283" s="19">
        <f t="shared" si="79"/>
        <v>0</v>
      </c>
      <c r="AC283" s="20">
        <v>40817</v>
      </c>
      <c r="AD283" s="20">
        <v>40847</v>
      </c>
      <c r="AE283" s="18"/>
    </row>
    <row r="284" spans="1:31" ht="18" customHeight="1">
      <c r="A284" s="21" t="s">
        <v>155</v>
      </c>
      <c r="B284" s="22"/>
      <c r="C284" s="22"/>
      <c r="D284" s="22">
        <f t="shared" si="80"/>
        <v>0</v>
      </c>
      <c r="E284" s="22">
        <f t="shared" si="80"/>
        <v>0</v>
      </c>
      <c r="F284" s="22"/>
      <c r="G284" s="22">
        <f t="shared" si="76"/>
        <v>0</v>
      </c>
      <c r="H284" s="22"/>
      <c r="I284" s="22">
        <f t="shared" si="81"/>
        <v>0</v>
      </c>
      <c r="J284" s="22">
        <f t="shared" si="82"/>
        <v>0</v>
      </c>
      <c r="K284" s="22">
        <f t="shared" si="83"/>
        <v>0</v>
      </c>
      <c r="L284" s="22">
        <f t="shared" si="84"/>
        <v>0</v>
      </c>
      <c r="M284" s="22">
        <f t="shared" si="84"/>
        <v>0</v>
      </c>
      <c r="N284" s="22">
        <f t="shared" si="85"/>
        <v>0</v>
      </c>
      <c r="O284" s="76"/>
      <c r="Q284" s="18"/>
      <c r="R284" s="18"/>
      <c r="S284" s="18"/>
      <c r="T284" s="18"/>
      <c r="U284" s="18"/>
      <c r="V284" s="19">
        <v>0</v>
      </c>
      <c r="W284" s="19">
        <v>0</v>
      </c>
      <c r="X284" s="19">
        <v>0</v>
      </c>
      <c r="Y284" s="19">
        <f t="shared" si="77"/>
        <v>0</v>
      </c>
      <c r="Z284" s="19">
        <f t="shared" si="78"/>
        <v>0</v>
      </c>
      <c r="AA284" s="19">
        <v>0</v>
      </c>
      <c r="AB284" s="19">
        <f t="shared" si="79"/>
        <v>0</v>
      </c>
      <c r="AC284" s="20">
        <v>40848</v>
      </c>
      <c r="AD284" s="20">
        <v>40877</v>
      </c>
      <c r="AE284" s="18"/>
    </row>
    <row r="285" spans="1:31" ht="18" customHeight="1">
      <c r="A285" s="21" t="s">
        <v>156</v>
      </c>
      <c r="B285" s="22"/>
      <c r="C285" s="22"/>
      <c r="D285" s="22">
        <f t="shared" si="80"/>
        <v>0</v>
      </c>
      <c r="E285" s="22">
        <f t="shared" si="80"/>
        <v>0</v>
      </c>
      <c r="F285" s="22"/>
      <c r="G285" s="22">
        <f t="shared" si="76"/>
        <v>0</v>
      </c>
      <c r="H285" s="22"/>
      <c r="I285" s="22">
        <f t="shared" si="81"/>
        <v>0</v>
      </c>
      <c r="J285" s="22">
        <f t="shared" si="82"/>
        <v>0</v>
      </c>
      <c r="K285" s="22">
        <f t="shared" si="83"/>
        <v>0</v>
      </c>
      <c r="L285" s="22">
        <f>ROUND((I285*8.6/100)/12,0)</f>
        <v>0</v>
      </c>
      <c r="M285" s="22">
        <f>ROUND((J285*8.6/100)/12,0)</f>
        <v>0</v>
      </c>
      <c r="N285" s="22">
        <f t="shared" si="85"/>
        <v>0</v>
      </c>
      <c r="O285" s="76" t="s">
        <v>157</v>
      </c>
      <c r="Q285" s="18"/>
      <c r="R285" s="18"/>
      <c r="S285" s="18"/>
      <c r="T285" s="18"/>
      <c r="U285" s="18"/>
      <c r="V285" s="19">
        <v>0</v>
      </c>
      <c r="W285" s="19">
        <v>0</v>
      </c>
      <c r="X285" s="19">
        <v>0</v>
      </c>
      <c r="Y285" s="19">
        <f t="shared" si="77"/>
        <v>0</v>
      </c>
      <c r="Z285" s="19">
        <f t="shared" si="78"/>
        <v>0</v>
      </c>
      <c r="AA285" s="19">
        <v>0</v>
      </c>
      <c r="AB285" s="19">
        <f t="shared" si="79"/>
        <v>0</v>
      </c>
      <c r="AC285" s="20">
        <v>40878</v>
      </c>
      <c r="AD285" s="20">
        <v>40908</v>
      </c>
      <c r="AE285" s="18"/>
    </row>
    <row r="286" spans="1:31" ht="18" customHeight="1">
      <c r="A286" s="21" t="s">
        <v>158</v>
      </c>
      <c r="B286" s="22"/>
      <c r="C286" s="22"/>
      <c r="D286" s="22">
        <f t="shared" si="80"/>
        <v>0</v>
      </c>
      <c r="E286" s="22">
        <f t="shared" si="80"/>
        <v>0</v>
      </c>
      <c r="F286" s="22"/>
      <c r="G286" s="22">
        <f t="shared" si="76"/>
        <v>0</v>
      </c>
      <c r="H286" s="22"/>
      <c r="I286" s="22">
        <f t="shared" si="81"/>
        <v>0</v>
      </c>
      <c r="J286" s="22">
        <f t="shared" si="82"/>
        <v>0</v>
      </c>
      <c r="K286" s="22">
        <f t="shared" si="83"/>
        <v>0</v>
      </c>
      <c r="L286" s="22">
        <f t="shared" ref="L286:M288" si="86">ROUND((I286*8.6/100)/12,0)</f>
        <v>0</v>
      </c>
      <c r="M286" s="22">
        <f t="shared" si="86"/>
        <v>0</v>
      </c>
      <c r="N286" s="22">
        <f t="shared" si="85"/>
        <v>0</v>
      </c>
      <c r="O286" s="76"/>
      <c r="Q286" s="18"/>
      <c r="R286" s="18"/>
      <c r="S286" s="18"/>
      <c r="T286" s="18"/>
      <c r="U286" s="18"/>
      <c r="V286" s="19">
        <v>0</v>
      </c>
      <c r="W286" s="19">
        <v>0</v>
      </c>
      <c r="X286" s="19">
        <v>0</v>
      </c>
      <c r="Y286" s="19">
        <f t="shared" si="77"/>
        <v>0</v>
      </c>
      <c r="Z286" s="19">
        <f t="shared" si="78"/>
        <v>0</v>
      </c>
      <c r="AA286" s="19">
        <v>0</v>
      </c>
      <c r="AB286" s="19">
        <f t="shared" si="79"/>
        <v>0</v>
      </c>
      <c r="AC286" s="20">
        <v>40909</v>
      </c>
      <c r="AD286" s="20">
        <v>40939</v>
      </c>
      <c r="AE286" s="18"/>
    </row>
    <row r="287" spans="1:31" ht="18" customHeight="1">
      <c r="A287" s="21" t="s">
        <v>159</v>
      </c>
      <c r="B287" s="22"/>
      <c r="C287" s="22"/>
      <c r="D287" s="22">
        <f t="shared" si="80"/>
        <v>0</v>
      </c>
      <c r="E287" s="22">
        <f t="shared" si="80"/>
        <v>0</v>
      </c>
      <c r="F287" s="22"/>
      <c r="G287" s="22">
        <f t="shared" si="76"/>
        <v>0</v>
      </c>
      <c r="H287" s="22"/>
      <c r="I287" s="22">
        <f t="shared" si="81"/>
        <v>0</v>
      </c>
      <c r="J287" s="22">
        <f t="shared" si="82"/>
        <v>0</v>
      </c>
      <c r="K287" s="22">
        <f t="shared" si="83"/>
        <v>0</v>
      </c>
      <c r="L287" s="22">
        <f t="shared" si="86"/>
        <v>0</v>
      </c>
      <c r="M287" s="22">
        <f t="shared" si="86"/>
        <v>0</v>
      </c>
      <c r="N287" s="22">
        <f t="shared" si="85"/>
        <v>0</v>
      </c>
      <c r="O287" s="76"/>
      <c r="Q287" s="18"/>
      <c r="R287" s="18"/>
      <c r="S287" s="18"/>
      <c r="T287" s="18"/>
      <c r="U287" s="18"/>
      <c r="V287" s="19">
        <v>0</v>
      </c>
      <c r="W287" s="19">
        <v>0</v>
      </c>
      <c r="X287" s="19">
        <v>0</v>
      </c>
      <c r="Y287" s="19">
        <f t="shared" si="77"/>
        <v>0</v>
      </c>
      <c r="Z287" s="19">
        <f t="shared" si="78"/>
        <v>0</v>
      </c>
      <c r="AA287" s="19">
        <v>0</v>
      </c>
      <c r="AB287" s="19">
        <f t="shared" si="79"/>
        <v>0</v>
      </c>
      <c r="AC287" s="20">
        <v>40940</v>
      </c>
      <c r="AD287" s="20">
        <v>40968</v>
      </c>
      <c r="AE287" s="18"/>
    </row>
    <row r="288" spans="1:31" ht="18" customHeight="1">
      <c r="A288" s="21" t="s">
        <v>160</v>
      </c>
      <c r="B288" s="22"/>
      <c r="C288" s="22"/>
      <c r="D288" s="22">
        <f t="shared" si="80"/>
        <v>0</v>
      </c>
      <c r="E288" s="22">
        <f t="shared" si="80"/>
        <v>0</v>
      </c>
      <c r="F288" s="22"/>
      <c r="G288" s="22">
        <f t="shared" si="76"/>
        <v>0</v>
      </c>
      <c r="H288" s="22"/>
      <c r="I288" s="22">
        <f t="shared" si="81"/>
        <v>0</v>
      </c>
      <c r="J288" s="22">
        <f t="shared" si="82"/>
        <v>0</v>
      </c>
      <c r="K288" s="22">
        <f t="shared" si="83"/>
        <v>0</v>
      </c>
      <c r="L288" s="22">
        <f t="shared" si="86"/>
        <v>0</v>
      </c>
      <c r="M288" s="22">
        <f t="shared" si="86"/>
        <v>0</v>
      </c>
      <c r="N288" s="22">
        <f t="shared" si="85"/>
        <v>0</v>
      </c>
      <c r="O288" s="76"/>
      <c r="Q288" s="18"/>
      <c r="R288" s="18"/>
      <c r="S288" s="18"/>
      <c r="T288" s="18"/>
      <c r="U288" s="18"/>
      <c r="V288" s="19">
        <v>0</v>
      </c>
      <c r="W288" s="19">
        <v>0</v>
      </c>
      <c r="X288" s="19">
        <v>0</v>
      </c>
      <c r="Y288" s="19">
        <f t="shared" si="77"/>
        <v>0</v>
      </c>
      <c r="Z288" s="19">
        <f t="shared" si="78"/>
        <v>0</v>
      </c>
      <c r="AA288" s="19">
        <v>0</v>
      </c>
      <c r="AB288" s="19">
        <f t="shared" si="79"/>
        <v>0</v>
      </c>
      <c r="AC288" s="20">
        <v>40969</v>
      </c>
      <c r="AD288" s="20">
        <v>40999</v>
      </c>
      <c r="AE288" s="18"/>
    </row>
    <row r="289" spans="1:31" ht="18" customHeight="1" thickBot="1">
      <c r="A289" s="34" t="s">
        <v>161</v>
      </c>
      <c r="B289" s="35">
        <f t="shared" ref="B289:N289" si="87">SUM(B277:B288)</f>
        <v>0</v>
      </c>
      <c r="C289" s="35">
        <f t="shared" si="87"/>
        <v>0</v>
      </c>
      <c r="D289" s="35">
        <f t="shared" si="87"/>
        <v>0</v>
      </c>
      <c r="E289" s="35">
        <f t="shared" si="87"/>
        <v>0</v>
      </c>
      <c r="F289" s="35">
        <f t="shared" si="87"/>
        <v>0</v>
      </c>
      <c r="G289" s="35">
        <f t="shared" si="87"/>
        <v>0</v>
      </c>
      <c r="H289" s="35">
        <f t="shared" si="87"/>
        <v>0</v>
      </c>
      <c r="I289" s="35">
        <f t="shared" si="87"/>
        <v>0</v>
      </c>
      <c r="J289" s="35">
        <f t="shared" si="87"/>
        <v>0</v>
      </c>
      <c r="K289" s="35">
        <f t="shared" si="87"/>
        <v>0</v>
      </c>
      <c r="L289" s="35">
        <f t="shared" si="87"/>
        <v>0</v>
      </c>
      <c r="M289" s="35">
        <f t="shared" si="87"/>
        <v>0</v>
      </c>
      <c r="N289" s="35">
        <f t="shared" si="87"/>
        <v>0</v>
      </c>
      <c r="O289" s="37"/>
      <c r="Q289" s="77" t="s">
        <v>36</v>
      </c>
      <c r="R289" s="78"/>
      <c r="S289" s="78"/>
      <c r="T289" s="79"/>
      <c r="U289" s="27"/>
      <c r="V289" s="28">
        <f t="shared" ref="V289:AB289" si="88">SUM(V277:V288)</f>
        <v>0</v>
      </c>
      <c r="W289" s="28">
        <f t="shared" si="88"/>
        <v>0</v>
      </c>
      <c r="X289" s="28">
        <f t="shared" si="88"/>
        <v>0</v>
      </c>
      <c r="Y289" s="28">
        <f t="shared" si="88"/>
        <v>0</v>
      </c>
      <c r="Z289" s="28">
        <f t="shared" si="88"/>
        <v>0</v>
      </c>
      <c r="AA289" s="28">
        <f t="shared" si="88"/>
        <v>0</v>
      </c>
      <c r="AB289" s="28">
        <f t="shared" si="88"/>
        <v>0</v>
      </c>
      <c r="AC289" s="18"/>
      <c r="AD289" s="18"/>
      <c r="AE289" s="18"/>
    </row>
    <row r="290" spans="1:31" ht="15.75" thickBot="1">
      <c r="A290" s="9"/>
      <c r="B290" s="9"/>
      <c r="C290" s="9"/>
      <c r="D290" s="9"/>
      <c r="E290" s="9"/>
      <c r="F290" s="11"/>
      <c r="G290" s="9"/>
      <c r="H290" s="9"/>
      <c r="I290" s="9"/>
      <c r="J290" s="9"/>
      <c r="K290" s="11"/>
      <c r="L290" s="11"/>
      <c r="M290" s="11"/>
      <c r="N290" s="9"/>
    </row>
    <row r="291" spans="1:31" ht="18" customHeight="1" thickBot="1">
      <c r="A291" s="9"/>
      <c r="B291" s="11"/>
      <c r="C291" s="11"/>
      <c r="D291" s="11"/>
      <c r="E291" s="9"/>
      <c r="F291" s="8">
        <v>1</v>
      </c>
      <c r="G291" s="56" t="s">
        <v>59</v>
      </c>
      <c r="H291" s="57"/>
      <c r="I291" s="57"/>
      <c r="J291" s="57"/>
      <c r="K291" s="58"/>
      <c r="L291" s="25">
        <f>K273</f>
        <v>0</v>
      </c>
      <c r="M291" s="5"/>
      <c r="O291" s="1"/>
      <c r="S291" s="29"/>
      <c r="T291" s="29"/>
      <c r="U291" s="29"/>
      <c r="AA291" s="15"/>
      <c r="AB291" s="15"/>
    </row>
    <row r="292" spans="1:31" ht="18" customHeight="1" thickBot="1">
      <c r="A292" s="9"/>
      <c r="B292" s="9"/>
      <c r="C292" s="9"/>
      <c r="D292" s="9"/>
      <c r="E292" s="9"/>
      <c r="F292" s="8">
        <v>2</v>
      </c>
      <c r="G292" s="56" t="s">
        <v>60</v>
      </c>
      <c r="H292" s="57"/>
      <c r="I292" s="57"/>
      <c r="J292" s="57"/>
      <c r="K292" s="58"/>
      <c r="L292" s="25">
        <f>B289+C289</f>
        <v>0</v>
      </c>
      <c r="M292" s="5"/>
      <c r="O292" s="1"/>
      <c r="S292" s="29"/>
      <c r="T292" s="29"/>
      <c r="U292" s="29"/>
      <c r="AA292" s="15"/>
      <c r="AB292" s="15"/>
    </row>
    <row r="293" spans="1:31" ht="18" customHeight="1" thickBot="1">
      <c r="A293" s="9"/>
      <c r="B293" s="9"/>
      <c r="C293" s="9"/>
      <c r="D293" s="9"/>
      <c r="E293" s="9"/>
      <c r="F293" s="8">
        <v>3</v>
      </c>
      <c r="G293" s="56" t="s">
        <v>113</v>
      </c>
      <c r="H293" s="57"/>
      <c r="I293" s="57"/>
      <c r="J293" s="57"/>
      <c r="K293" s="58"/>
      <c r="L293" s="25">
        <f>F289</f>
        <v>0</v>
      </c>
      <c r="M293" s="5"/>
      <c r="O293" s="1"/>
      <c r="S293" s="29"/>
      <c r="T293" s="29"/>
      <c r="U293" s="29"/>
      <c r="AA293" s="15"/>
      <c r="AB293" s="15"/>
    </row>
    <row r="294" spans="1:31" ht="18" customHeight="1" thickBot="1">
      <c r="A294" s="9"/>
      <c r="B294" s="9"/>
      <c r="C294" s="9"/>
      <c r="D294" s="9"/>
      <c r="E294" s="9"/>
      <c r="F294" s="8">
        <v>4</v>
      </c>
      <c r="G294" s="56" t="s">
        <v>62</v>
      </c>
      <c r="H294" s="57"/>
      <c r="I294" s="57"/>
      <c r="J294" s="57"/>
      <c r="K294" s="58"/>
      <c r="L294" s="25">
        <f>L292+L293</f>
        <v>0</v>
      </c>
      <c r="M294" s="5"/>
      <c r="O294" s="1"/>
      <c r="S294" s="29"/>
      <c r="T294" s="29"/>
      <c r="U294" s="29"/>
      <c r="AA294" s="15"/>
      <c r="AB294" s="15"/>
    </row>
    <row r="295" spans="1:31" ht="18" customHeight="1" thickBot="1">
      <c r="A295" s="9"/>
      <c r="B295" s="9"/>
      <c r="C295" s="9"/>
      <c r="D295" s="9"/>
      <c r="E295" s="9"/>
      <c r="F295" s="8">
        <v>5</v>
      </c>
      <c r="G295" s="56" t="s">
        <v>18</v>
      </c>
      <c r="H295" s="57"/>
      <c r="I295" s="57"/>
      <c r="J295" s="57"/>
      <c r="K295" s="58"/>
      <c r="L295" s="25">
        <f>D289+E289</f>
        <v>0</v>
      </c>
      <c r="M295" s="5"/>
      <c r="O295" s="1"/>
      <c r="S295" s="29"/>
      <c r="T295" s="29"/>
      <c r="U295" s="29"/>
      <c r="AA295" s="15"/>
      <c r="AB295" s="15"/>
    </row>
    <row r="296" spans="1:31" ht="18" customHeight="1" thickBot="1">
      <c r="A296" s="9"/>
      <c r="B296" s="9"/>
      <c r="C296" s="9"/>
      <c r="D296" s="9"/>
      <c r="E296" s="9"/>
      <c r="F296" s="8">
        <v>6</v>
      </c>
      <c r="G296" s="56" t="s">
        <v>63</v>
      </c>
      <c r="H296" s="57"/>
      <c r="I296" s="57"/>
      <c r="J296" s="57"/>
      <c r="K296" s="58"/>
      <c r="L296" s="25">
        <f>L291+L294+L295</f>
        <v>0</v>
      </c>
      <c r="M296" s="5"/>
      <c r="O296" s="1"/>
      <c r="S296" s="29"/>
      <c r="T296" s="29"/>
      <c r="U296" s="29"/>
      <c r="AA296" s="15"/>
      <c r="AB296" s="15"/>
    </row>
    <row r="297" spans="1:31" ht="18" customHeight="1" thickBot="1">
      <c r="A297" s="9"/>
      <c r="B297" s="9"/>
      <c r="C297" s="9"/>
      <c r="D297" s="9"/>
      <c r="E297" s="9"/>
      <c r="F297" s="8">
        <v>7</v>
      </c>
      <c r="G297" s="56" t="s">
        <v>64</v>
      </c>
      <c r="H297" s="57"/>
      <c r="I297" s="57"/>
      <c r="J297" s="57"/>
      <c r="K297" s="58"/>
      <c r="L297" s="25">
        <f>H289</f>
        <v>0</v>
      </c>
      <c r="M297" s="5"/>
      <c r="O297" s="1"/>
      <c r="S297" s="29"/>
      <c r="T297" s="29"/>
      <c r="U297" s="29"/>
      <c r="AA297" s="15"/>
      <c r="AB297" s="15"/>
    </row>
    <row r="298" spans="1:31" ht="18" customHeight="1" thickBot="1">
      <c r="A298" s="9"/>
      <c r="B298" s="9"/>
      <c r="C298" s="9"/>
      <c r="D298" s="9"/>
      <c r="E298" s="9"/>
      <c r="F298" s="8">
        <v>8</v>
      </c>
      <c r="G298" s="56" t="s">
        <v>25</v>
      </c>
      <c r="H298" s="57"/>
      <c r="I298" s="57"/>
      <c r="J298" s="57"/>
      <c r="K298" s="58"/>
      <c r="L298" s="25">
        <f>L289</f>
        <v>0</v>
      </c>
      <c r="M298" s="5"/>
      <c r="O298" s="1"/>
      <c r="S298" s="29"/>
      <c r="T298" s="29"/>
      <c r="U298" s="29"/>
      <c r="AA298" s="15"/>
      <c r="AB298" s="15"/>
    </row>
    <row r="299" spans="1:31" ht="18" customHeight="1" thickBot="1">
      <c r="A299" s="9"/>
      <c r="B299" s="9"/>
      <c r="C299" s="9"/>
      <c r="D299" s="9"/>
      <c r="E299" s="9"/>
      <c r="F299" s="8">
        <v>9</v>
      </c>
      <c r="G299" s="56" t="s">
        <v>26</v>
      </c>
      <c r="H299" s="57"/>
      <c r="I299" s="57"/>
      <c r="J299" s="57"/>
      <c r="K299" s="58"/>
      <c r="L299" s="25">
        <f>M289</f>
        <v>0</v>
      </c>
      <c r="M299" s="5"/>
      <c r="O299" s="1"/>
      <c r="S299" s="29"/>
      <c r="T299" s="29"/>
      <c r="U299" s="29"/>
      <c r="AA299" s="15"/>
      <c r="AB299" s="15"/>
    </row>
    <row r="300" spans="1:31" ht="18" customHeight="1" thickBot="1">
      <c r="A300" s="9"/>
      <c r="B300" s="9"/>
      <c r="C300" s="9"/>
      <c r="D300" s="9"/>
      <c r="E300" s="9"/>
      <c r="F300" s="8">
        <v>10</v>
      </c>
      <c r="G300" s="56" t="s">
        <v>65</v>
      </c>
      <c r="H300" s="57"/>
      <c r="I300" s="57"/>
      <c r="J300" s="57"/>
      <c r="K300" s="58"/>
      <c r="L300" s="25">
        <f>N289</f>
        <v>0</v>
      </c>
      <c r="M300" s="5"/>
      <c r="O300" s="1"/>
      <c r="S300" s="29"/>
      <c r="T300" s="29"/>
      <c r="U300" s="29"/>
      <c r="AA300" s="15"/>
      <c r="AB300" s="15"/>
    </row>
    <row r="301" spans="1:31" ht="18" customHeight="1" thickBot="1">
      <c r="A301" s="9"/>
      <c r="B301" s="9"/>
      <c r="C301" s="9"/>
      <c r="D301" s="9"/>
      <c r="E301" s="9"/>
      <c r="F301" s="8">
        <v>11</v>
      </c>
      <c r="G301" s="57" t="s">
        <v>162</v>
      </c>
      <c r="H301" s="57"/>
      <c r="I301" s="57"/>
      <c r="J301" s="57"/>
      <c r="K301" s="58"/>
      <c r="L301" s="25">
        <f>L296-L297+L300</f>
        <v>0</v>
      </c>
      <c r="M301" s="5"/>
      <c r="O301" s="1"/>
      <c r="S301" s="29"/>
      <c r="T301" s="29"/>
      <c r="U301" s="29"/>
      <c r="AA301" s="15"/>
      <c r="AB301" s="15"/>
    </row>
    <row r="302" spans="1:31">
      <c r="A302" s="9"/>
      <c r="B302" s="9"/>
      <c r="C302" s="9"/>
      <c r="D302" s="9"/>
      <c r="E302" s="9"/>
      <c r="F302" s="9"/>
      <c r="G302" s="30"/>
      <c r="H302" s="30"/>
      <c r="I302" s="30"/>
      <c r="J302" s="30"/>
      <c r="K302" s="30"/>
      <c r="L302" s="30"/>
      <c r="M302" s="30"/>
      <c r="N302" s="11"/>
    </row>
    <row r="303" spans="1:31"/>
    <row r="304" spans="1:31"/>
    <row r="305" spans="1:31" ht="18">
      <c r="A305" s="73" t="s">
        <v>2</v>
      </c>
      <c r="B305" s="73"/>
      <c r="C305" s="3"/>
      <c r="D305" s="3"/>
      <c r="E305" s="73" t="s">
        <v>3</v>
      </c>
      <c r="F305" s="73"/>
      <c r="G305" s="73"/>
      <c r="H305" s="74" t="s">
        <v>4</v>
      </c>
      <c r="I305" s="74"/>
      <c r="J305" s="74"/>
      <c r="K305" s="74"/>
      <c r="L305" s="74"/>
      <c r="M305" s="74"/>
      <c r="N305" s="74"/>
    </row>
    <row r="306" spans="1:31" ht="18">
      <c r="A306" s="3"/>
      <c r="B306" s="3"/>
      <c r="C306" s="3"/>
      <c r="D306" s="3"/>
      <c r="E306" s="3"/>
      <c r="F306" s="3"/>
      <c r="G306" s="4"/>
      <c r="H306" s="4"/>
      <c r="I306" s="4"/>
      <c r="J306" s="4"/>
    </row>
    <row r="307" spans="1:31" ht="18">
      <c r="A307" s="3"/>
      <c r="B307" s="3"/>
      <c r="C307" s="3"/>
      <c r="D307" s="3"/>
      <c r="E307" s="3"/>
      <c r="F307" s="3"/>
      <c r="G307" s="4"/>
      <c r="H307" s="4"/>
      <c r="I307" s="4"/>
      <c r="J307" s="4"/>
    </row>
    <row r="308" spans="1:31" ht="18.75">
      <c r="A308" s="67" t="s">
        <v>0</v>
      </c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</row>
    <row r="309" spans="1:31" ht="18.75">
      <c r="A309" s="67" t="s">
        <v>1</v>
      </c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</row>
    <row r="310" spans="1:31"/>
    <row r="311" spans="1:31" ht="15.75" thickBot="1">
      <c r="A311" s="95" t="s">
        <v>163</v>
      </c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</row>
    <row r="312" spans="1:31" ht="36" customHeight="1" thickBot="1">
      <c r="A312" s="7" t="s">
        <v>7</v>
      </c>
      <c r="B312" s="8">
        <f>B269</f>
        <v>0</v>
      </c>
      <c r="C312" s="9"/>
      <c r="D312" s="9"/>
      <c r="E312" s="56" t="s">
        <v>8</v>
      </c>
      <c r="F312" s="58">
        <f>F270</f>
        <v>0</v>
      </c>
      <c r="G312" s="9"/>
      <c r="H312" s="56">
        <f>H269</f>
        <v>0</v>
      </c>
      <c r="I312" s="57"/>
      <c r="J312" s="57"/>
      <c r="K312" s="57"/>
      <c r="L312" s="57"/>
      <c r="M312" s="57"/>
      <c r="N312" s="57"/>
      <c r="O312" s="58"/>
    </row>
    <row r="313" spans="1:31" ht="15.75" thickBo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11"/>
      <c r="L313" s="11"/>
      <c r="M313" s="11"/>
      <c r="N313" s="9"/>
    </row>
    <row r="314" spans="1:31" ht="36" customHeight="1" thickBot="1">
      <c r="A314" s="7" t="s">
        <v>9</v>
      </c>
      <c r="B314" s="7">
        <f>B271</f>
        <v>0</v>
      </c>
      <c r="C314" s="9"/>
      <c r="D314" s="9"/>
      <c r="E314" s="7" t="s">
        <v>10</v>
      </c>
      <c r="F314" s="7">
        <f>F271</f>
        <v>0</v>
      </c>
      <c r="G314" s="9"/>
      <c r="H314" s="7" t="s">
        <v>11</v>
      </c>
      <c r="I314" s="56">
        <f>I271</f>
        <v>0</v>
      </c>
      <c r="J314" s="57"/>
      <c r="K314" s="57">
        <f>K272</f>
        <v>0</v>
      </c>
      <c r="L314" s="57"/>
      <c r="M314" s="57"/>
      <c r="N314" s="57"/>
      <c r="O314" s="58"/>
    </row>
    <row r="315" spans="1:31" ht="15.75" thickBo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11"/>
      <c r="L315" s="11"/>
      <c r="M315" s="11"/>
      <c r="N315" s="9"/>
    </row>
    <row r="316" spans="1:31" ht="24" customHeight="1" thickBot="1">
      <c r="A316" s="7" t="s">
        <v>12</v>
      </c>
      <c r="B316" s="12">
        <v>8.7999999999999995E-2</v>
      </c>
      <c r="C316" s="9"/>
      <c r="D316" s="9"/>
      <c r="E316" s="7" t="s">
        <v>13</v>
      </c>
      <c r="F316" s="12"/>
      <c r="G316" s="9"/>
      <c r="H316" s="87" t="s">
        <v>14</v>
      </c>
      <c r="I316" s="88"/>
      <c r="J316" s="89"/>
      <c r="K316" s="90">
        <f>L301</f>
        <v>0</v>
      </c>
      <c r="L316" s="91"/>
      <c r="M316" s="91"/>
      <c r="N316" s="91"/>
      <c r="O316" s="92"/>
      <c r="Q316" s="75" t="s">
        <v>163</v>
      </c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</row>
    <row r="317" spans="1:31" ht="15.75" thickBo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11"/>
      <c r="L317" s="11"/>
      <c r="M317" s="11"/>
      <c r="N317" s="9"/>
    </row>
    <row r="318" spans="1:31" ht="39.950000000000003" customHeight="1" thickBot="1">
      <c r="A318" s="81" t="s">
        <v>16</v>
      </c>
      <c r="B318" s="93" t="s">
        <v>17</v>
      </c>
      <c r="C318" s="94"/>
      <c r="D318" s="93" t="s">
        <v>18</v>
      </c>
      <c r="E318" s="94"/>
      <c r="F318" s="81" t="s">
        <v>19</v>
      </c>
      <c r="G318" s="81" t="s">
        <v>20</v>
      </c>
      <c r="H318" s="81" t="s">
        <v>21</v>
      </c>
      <c r="I318" s="81" t="s">
        <v>22</v>
      </c>
      <c r="J318" s="81" t="s">
        <v>23</v>
      </c>
      <c r="K318" s="83" t="s">
        <v>24</v>
      </c>
      <c r="L318" s="83" t="s">
        <v>25</v>
      </c>
      <c r="M318" s="83" t="s">
        <v>26</v>
      </c>
      <c r="N318" s="83" t="s">
        <v>27</v>
      </c>
      <c r="O318" s="85" t="s">
        <v>28</v>
      </c>
      <c r="Q318" s="75" t="s">
        <v>29</v>
      </c>
      <c r="R318" s="75" t="s">
        <v>30</v>
      </c>
      <c r="S318" s="75" t="s">
        <v>31</v>
      </c>
      <c r="T318" s="75" t="s">
        <v>32</v>
      </c>
      <c r="U318" s="75" t="s">
        <v>264</v>
      </c>
      <c r="V318" s="80" t="s">
        <v>33</v>
      </c>
      <c r="W318" s="80" t="s">
        <v>34</v>
      </c>
      <c r="X318" s="80" t="s">
        <v>35</v>
      </c>
      <c r="Y318" s="80" t="s">
        <v>36</v>
      </c>
      <c r="Z318" s="80" t="s">
        <v>37</v>
      </c>
      <c r="AA318" s="80" t="s">
        <v>38</v>
      </c>
      <c r="AB318" s="80" t="s">
        <v>39</v>
      </c>
      <c r="AC318" s="75" t="s">
        <v>40</v>
      </c>
      <c r="AD318" s="75" t="s">
        <v>41</v>
      </c>
      <c r="AE318" s="75" t="s">
        <v>42</v>
      </c>
    </row>
    <row r="319" spans="1:31" ht="39.950000000000003" customHeight="1" thickBot="1">
      <c r="A319" s="82"/>
      <c r="B319" s="7" t="s">
        <v>43</v>
      </c>
      <c r="C319" s="7" t="s">
        <v>44</v>
      </c>
      <c r="D319" s="7" t="s">
        <v>43</v>
      </c>
      <c r="E319" s="7" t="s">
        <v>44</v>
      </c>
      <c r="F319" s="82"/>
      <c r="G319" s="82"/>
      <c r="H319" s="82"/>
      <c r="I319" s="82"/>
      <c r="J319" s="82"/>
      <c r="K319" s="84"/>
      <c r="L319" s="84"/>
      <c r="M319" s="84"/>
      <c r="N319" s="84"/>
      <c r="O319" s="86"/>
      <c r="Q319" s="75"/>
      <c r="R319" s="75"/>
      <c r="S319" s="75"/>
      <c r="T319" s="75"/>
      <c r="U319" s="75"/>
      <c r="V319" s="80"/>
      <c r="W319" s="80"/>
      <c r="X319" s="80"/>
      <c r="Y319" s="80"/>
      <c r="Z319" s="80"/>
      <c r="AA319" s="80"/>
      <c r="AB319" s="80"/>
      <c r="AC319" s="75"/>
      <c r="AD319" s="75"/>
      <c r="AE319" s="75"/>
    </row>
    <row r="320" spans="1:31" ht="18" customHeight="1">
      <c r="A320" s="38" t="s">
        <v>164</v>
      </c>
      <c r="B320" s="22"/>
      <c r="C320" s="22"/>
      <c r="D320" s="22">
        <f>B320</f>
        <v>0</v>
      </c>
      <c r="E320" s="22">
        <f>C320</f>
        <v>0</v>
      </c>
      <c r="F320" s="22"/>
      <c r="G320" s="22">
        <f t="shared" ref="G320:G331" si="89">(B320+C320+F320)+(D320+E320)</f>
        <v>0</v>
      </c>
      <c r="H320" s="22"/>
      <c r="I320" s="22">
        <f>(K316+B320+C320+F320)-H320</f>
        <v>0</v>
      </c>
      <c r="J320" s="22">
        <f>(D320+E320)</f>
        <v>0</v>
      </c>
      <c r="K320" s="22">
        <f>(K316+G320)-H320</f>
        <v>0</v>
      </c>
      <c r="L320" s="22">
        <f>ROUND((I320*8.8/100)/12,0)</f>
        <v>0</v>
      </c>
      <c r="M320" s="22">
        <f>ROUND((J320*8.8/100)/12,0)</f>
        <v>0</v>
      </c>
      <c r="N320" s="22">
        <f>L320+M320</f>
        <v>0</v>
      </c>
      <c r="O320" s="76" t="s">
        <v>165</v>
      </c>
      <c r="Q320" s="18"/>
      <c r="R320" s="18"/>
      <c r="S320" s="18"/>
      <c r="T320" s="18"/>
      <c r="U320" s="18"/>
      <c r="V320" s="19"/>
      <c r="W320" s="19"/>
      <c r="X320" s="19"/>
      <c r="Y320" s="19">
        <f t="shared" ref="Y320:Y331" si="90">V320+W320+X320</f>
        <v>0</v>
      </c>
      <c r="Z320" s="19">
        <f t="shared" ref="Z320:Z331" si="91">ROUND(Y320*10%,0)</f>
        <v>0</v>
      </c>
      <c r="AA320" s="19"/>
      <c r="AB320" s="19">
        <f t="shared" ref="AB320:AB331" si="92">AA320-Z320</f>
        <v>0</v>
      </c>
      <c r="AC320" s="20">
        <v>41000</v>
      </c>
      <c r="AD320" s="20">
        <v>41029</v>
      </c>
      <c r="AE320" s="18"/>
    </row>
    <row r="321" spans="1:31" ht="18" customHeight="1">
      <c r="A321" s="38" t="s">
        <v>166</v>
      </c>
      <c r="B321" s="22"/>
      <c r="C321" s="22"/>
      <c r="D321" s="22">
        <f t="shared" ref="D321:E331" si="93">B321</f>
        <v>0</v>
      </c>
      <c r="E321" s="22">
        <f t="shared" si="93"/>
        <v>0</v>
      </c>
      <c r="F321" s="22"/>
      <c r="G321" s="22">
        <f t="shared" si="89"/>
        <v>0</v>
      </c>
      <c r="H321" s="22"/>
      <c r="I321" s="22">
        <f>(I320+B321+C321+F321)-H321</f>
        <v>0</v>
      </c>
      <c r="J321" s="22">
        <f>(J320+D321+E321)</f>
        <v>0</v>
      </c>
      <c r="K321" s="22">
        <f>(K320+G321)-H321</f>
        <v>0</v>
      </c>
      <c r="L321" s="22">
        <f>ROUND((I321*8.8/100)/12,0)</f>
        <v>0</v>
      </c>
      <c r="M321" s="22">
        <f>ROUND((J321*8.8/100)/12,0)</f>
        <v>0</v>
      </c>
      <c r="N321" s="22">
        <f t="shared" ref="N321:N331" si="94">L321+M321</f>
        <v>0</v>
      </c>
      <c r="O321" s="76"/>
      <c r="Q321" s="18"/>
      <c r="R321" s="18"/>
      <c r="S321" s="18"/>
      <c r="T321" s="18"/>
      <c r="U321" s="18"/>
      <c r="V321" s="19"/>
      <c r="W321" s="19"/>
      <c r="X321" s="19"/>
      <c r="Y321" s="19">
        <f t="shared" si="90"/>
        <v>0</v>
      </c>
      <c r="Z321" s="19">
        <f t="shared" si="91"/>
        <v>0</v>
      </c>
      <c r="AA321" s="19"/>
      <c r="AB321" s="19">
        <f t="shared" si="92"/>
        <v>0</v>
      </c>
      <c r="AC321" s="20">
        <v>41030</v>
      </c>
      <c r="AD321" s="20">
        <v>41060</v>
      </c>
      <c r="AE321" s="18"/>
    </row>
    <row r="322" spans="1:31" ht="18" customHeight="1">
      <c r="A322" s="38" t="s">
        <v>167</v>
      </c>
      <c r="B322" s="22"/>
      <c r="C322" s="22"/>
      <c r="D322" s="22">
        <f t="shared" si="93"/>
        <v>0</v>
      </c>
      <c r="E322" s="22">
        <f t="shared" si="93"/>
        <v>0</v>
      </c>
      <c r="F322" s="22"/>
      <c r="G322" s="22">
        <f t="shared" si="89"/>
        <v>0</v>
      </c>
      <c r="H322" s="22"/>
      <c r="I322" s="22">
        <f t="shared" ref="I322:I331" si="95">(I321+B322+C322+F322)-H322</f>
        <v>0</v>
      </c>
      <c r="J322" s="22">
        <f t="shared" ref="J322:J331" si="96">(J321+D322+E322)</f>
        <v>0</v>
      </c>
      <c r="K322" s="22">
        <f t="shared" ref="K322:K331" si="97">(K321+G322)-H322</f>
        <v>0</v>
      </c>
      <c r="L322" s="22">
        <f t="shared" ref="L322:M331" si="98">ROUND((I322*8.8/100)/12,0)</f>
        <v>0</v>
      </c>
      <c r="M322" s="22">
        <f t="shared" si="98"/>
        <v>0</v>
      </c>
      <c r="N322" s="22">
        <f t="shared" si="94"/>
        <v>0</v>
      </c>
      <c r="O322" s="76"/>
      <c r="Q322" s="18"/>
      <c r="R322" s="18"/>
      <c r="S322" s="18"/>
      <c r="T322" s="18"/>
      <c r="U322" s="18"/>
      <c r="V322" s="19"/>
      <c r="W322" s="19"/>
      <c r="X322" s="19"/>
      <c r="Y322" s="19">
        <f t="shared" si="90"/>
        <v>0</v>
      </c>
      <c r="Z322" s="19">
        <f t="shared" si="91"/>
        <v>0</v>
      </c>
      <c r="AA322" s="19"/>
      <c r="AB322" s="19">
        <f t="shared" si="92"/>
        <v>0</v>
      </c>
      <c r="AC322" s="20">
        <v>41061</v>
      </c>
      <c r="AD322" s="20">
        <v>41090</v>
      </c>
      <c r="AE322" s="18"/>
    </row>
    <row r="323" spans="1:31" ht="18" customHeight="1">
      <c r="A323" s="38" t="s">
        <v>168</v>
      </c>
      <c r="B323" s="22"/>
      <c r="C323" s="22"/>
      <c r="D323" s="22">
        <f t="shared" si="93"/>
        <v>0</v>
      </c>
      <c r="E323" s="22">
        <f t="shared" si="93"/>
        <v>0</v>
      </c>
      <c r="F323" s="22"/>
      <c r="G323" s="22">
        <f t="shared" si="89"/>
        <v>0</v>
      </c>
      <c r="H323" s="22"/>
      <c r="I323" s="22">
        <f t="shared" si="95"/>
        <v>0</v>
      </c>
      <c r="J323" s="22">
        <f t="shared" si="96"/>
        <v>0</v>
      </c>
      <c r="K323" s="22">
        <f t="shared" si="97"/>
        <v>0</v>
      </c>
      <c r="L323" s="22">
        <f t="shared" si="98"/>
        <v>0</v>
      </c>
      <c r="M323" s="22">
        <f t="shared" si="98"/>
        <v>0</v>
      </c>
      <c r="N323" s="22">
        <f t="shared" si="94"/>
        <v>0</v>
      </c>
      <c r="O323" s="76"/>
      <c r="Q323" s="18"/>
      <c r="R323" s="18"/>
      <c r="S323" s="18"/>
      <c r="T323" s="18"/>
      <c r="U323" s="18"/>
      <c r="V323" s="19"/>
      <c r="W323" s="19"/>
      <c r="X323" s="19"/>
      <c r="Y323" s="19">
        <f t="shared" si="90"/>
        <v>0</v>
      </c>
      <c r="Z323" s="19">
        <f t="shared" si="91"/>
        <v>0</v>
      </c>
      <c r="AA323" s="19"/>
      <c r="AB323" s="19">
        <f t="shared" si="92"/>
        <v>0</v>
      </c>
      <c r="AC323" s="20">
        <v>41091</v>
      </c>
      <c r="AD323" s="20">
        <v>41121</v>
      </c>
      <c r="AE323" s="18"/>
    </row>
    <row r="324" spans="1:31" ht="18" customHeight="1">
      <c r="A324" s="38" t="s">
        <v>169</v>
      </c>
      <c r="B324" s="22"/>
      <c r="C324" s="22"/>
      <c r="D324" s="22">
        <f t="shared" si="93"/>
        <v>0</v>
      </c>
      <c r="E324" s="22">
        <f t="shared" si="93"/>
        <v>0</v>
      </c>
      <c r="F324" s="22"/>
      <c r="G324" s="22">
        <f t="shared" si="89"/>
        <v>0</v>
      </c>
      <c r="H324" s="22"/>
      <c r="I324" s="22">
        <f t="shared" si="95"/>
        <v>0</v>
      </c>
      <c r="J324" s="22">
        <f t="shared" si="96"/>
        <v>0</v>
      </c>
      <c r="K324" s="22">
        <f t="shared" si="97"/>
        <v>0</v>
      </c>
      <c r="L324" s="22">
        <f t="shared" si="98"/>
        <v>0</v>
      </c>
      <c r="M324" s="22">
        <f t="shared" si="98"/>
        <v>0</v>
      </c>
      <c r="N324" s="22">
        <f t="shared" si="94"/>
        <v>0</v>
      </c>
      <c r="O324" s="76"/>
      <c r="Q324" s="18"/>
      <c r="R324" s="18"/>
      <c r="S324" s="18"/>
      <c r="T324" s="18"/>
      <c r="U324" s="18"/>
      <c r="V324" s="19"/>
      <c r="W324" s="19"/>
      <c r="X324" s="19"/>
      <c r="Y324" s="19">
        <f t="shared" si="90"/>
        <v>0</v>
      </c>
      <c r="Z324" s="19">
        <f t="shared" si="91"/>
        <v>0</v>
      </c>
      <c r="AA324" s="19"/>
      <c r="AB324" s="19">
        <f t="shared" si="92"/>
        <v>0</v>
      </c>
      <c r="AC324" s="20">
        <v>41122</v>
      </c>
      <c r="AD324" s="20">
        <v>41152</v>
      </c>
      <c r="AE324" s="18"/>
    </row>
    <row r="325" spans="1:31" ht="18" customHeight="1">
      <c r="A325" s="38" t="s">
        <v>170</v>
      </c>
      <c r="B325" s="22"/>
      <c r="C325" s="22"/>
      <c r="D325" s="22">
        <f t="shared" si="93"/>
        <v>0</v>
      </c>
      <c r="E325" s="22">
        <f t="shared" si="93"/>
        <v>0</v>
      </c>
      <c r="F325" s="22"/>
      <c r="G325" s="22">
        <f t="shared" si="89"/>
        <v>0</v>
      </c>
      <c r="H325" s="22"/>
      <c r="I325" s="22">
        <f t="shared" si="95"/>
        <v>0</v>
      </c>
      <c r="J325" s="22">
        <f t="shared" si="96"/>
        <v>0</v>
      </c>
      <c r="K325" s="22">
        <f t="shared" si="97"/>
        <v>0</v>
      </c>
      <c r="L325" s="22">
        <f t="shared" si="98"/>
        <v>0</v>
      </c>
      <c r="M325" s="22">
        <f t="shared" si="98"/>
        <v>0</v>
      </c>
      <c r="N325" s="22">
        <f t="shared" si="94"/>
        <v>0</v>
      </c>
      <c r="O325" s="76"/>
      <c r="Q325" s="18"/>
      <c r="R325" s="18"/>
      <c r="S325" s="18"/>
      <c r="T325" s="18"/>
      <c r="U325" s="18"/>
      <c r="V325" s="19"/>
      <c r="W325" s="19"/>
      <c r="X325" s="19"/>
      <c r="Y325" s="19">
        <f t="shared" si="90"/>
        <v>0</v>
      </c>
      <c r="Z325" s="19">
        <f t="shared" si="91"/>
        <v>0</v>
      </c>
      <c r="AA325" s="19"/>
      <c r="AB325" s="19">
        <f t="shared" si="92"/>
        <v>0</v>
      </c>
      <c r="AC325" s="20">
        <v>41153</v>
      </c>
      <c r="AD325" s="20">
        <v>41182</v>
      </c>
      <c r="AE325" s="18"/>
    </row>
    <row r="326" spans="1:31" ht="18" customHeight="1">
      <c r="A326" s="38" t="s">
        <v>171</v>
      </c>
      <c r="B326" s="22"/>
      <c r="C326" s="22"/>
      <c r="D326" s="22">
        <f t="shared" si="93"/>
        <v>0</v>
      </c>
      <c r="E326" s="22">
        <f t="shared" si="93"/>
        <v>0</v>
      </c>
      <c r="F326" s="22"/>
      <c r="G326" s="22">
        <f t="shared" si="89"/>
        <v>0</v>
      </c>
      <c r="H326" s="22"/>
      <c r="I326" s="22">
        <f t="shared" si="95"/>
        <v>0</v>
      </c>
      <c r="J326" s="22">
        <f t="shared" si="96"/>
        <v>0</v>
      </c>
      <c r="K326" s="22">
        <f t="shared" si="97"/>
        <v>0</v>
      </c>
      <c r="L326" s="22">
        <f t="shared" si="98"/>
        <v>0</v>
      </c>
      <c r="M326" s="22">
        <f t="shared" si="98"/>
        <v>0</v>
      </c>
      <c r="N326" s="22">
        <f t="shared" si="94"/>
        <v>0</v>
      </c>
      <c r="O326" s="76"/>
      <c r="Q326" s="18"/>
      <c r="R326" s="18"/>
      <c r="S326" s="18"/>
      <c r="T326" s="18"/>
      <c r="U326" s="18"/>
      <c r="V326" s="19"/>
      <c r="W326" s="19"/>
      <c r="X326" s="19"/>
      <c r="Y326" s="19">
        <f t="shared" si="90"/>
        <v>0</v>
      </c>
      <c r="Z326" s="19">
        <f t="shared" si="91"/>
        <v>0</v>
      </c>
      <c r="AA326" s="19"/>
      <c r="AB326" s="19">
        <f t="shared" si="92"/>
        <v>0</v>
      </c>
      <c r="AC326" s="20">
        <v>41183</v>
      </c>
      <c r="AD326" s="20">
        <v>41213</v>
      </c>
      <c r="AE326" s="18"/>
    </row>
    <row r="327" spans="1:31" ht="18" customHeight="1">
      <c r="A327" s="38" t="s">
        <v>172</v>
      </c>
      <c r="B327" s="22"/>
      <c r="C327" s="22"/>
      <c r="D327" s="22">
        <f t="shared" si="93"/>
        <v>0</v>
      </c>
      <c r="E327" s="22">
        <f t="shared" si="93"/>
        <v>0</v>
      </c>
      <c r="F327" s="22"/>
      <c r="G327" s="22">
        <f t="shared" si="89"/>
        <v>0</v>
      </c>
      <c r="H327" s="22"/>
      <c r="I327" s="22">
        <f t="shared" si="95"/>
        <v>0</v>
      </c>
      <c r="J327" s="22">
        <f t="shared" si="96"/>
        <v>0</v>
      </c>
      <c r="K327" s="22">
        <f t="shared" si="97"/>
        <v>0</v>
      </c>
      <c r="L327" s="22">
        <f t="shared" si="98"/>
        <v>0</v>
      </c>
      <c r="M327" s="22">
        <f t="shared" si="98"/>
        <v>0</v>
      </c>
      <c r="N327" s="22">
        <f t="shared" si="94"/>
        <v>0</v>
      </c>
      <c r="O327" s="76"/>
      <c r="Q327" s="18"/>
      <c r="R327" s="18"/>
      <c r="S327" s="18"/>
      <c r="T327" s="18"/>
      <c r="U327" s="18"/>
      <c r="V327" s="19"/>
      <c r="W327" s="19"/>
      <c r="X327" s="19"/>
      <c r="Y327" s="19">
        <f t="shared" si="90"/>
        <v>0</v>
      </c>
      <c r="Z327" s="19">
        <f t="shared" si="91"/>
        <v>0</v>
      </c>
      <c r="AA327" s="19"/>
      <c r="AB327" s="19">
        <f t="shared" si="92"/>
        <v>0</v>
      </c>
      <c r="AC327" s="20">
        <v>41214</v>
      </c>
      <c r="AD327" s="20">
        <v>41243</v>
      </c>
      <c r="AE327" s="18"/>
    </row>
    <row r="328" spans="1:31" ht="18" customHeight="1">
      <c r="A328" s="38" t="s">
        <v>173</v>
      </c>
      <c r="B328" s="22"/>
      <c r="C328" s="22"/>
      <c r="D328" s="22">
        <f t="shared" si="93"/>
        <v>0</v>
      </c>
      <c r="E328" s="22">
        <f t="shared" si="93"/>
        <v>0</v>
      </c>
      <c r="F328" s="22"/>
      <c r="G328" s="22">
        <f t="shared" si="89"/>
        <v>0</v>
      </c>
      <c r="H328" s="22"/>
      <c r="I328" s="22">
        <f t="shared" si="95"/>
        <v>0</v>
      </c>
      <c r="J328" s="22">
        <f t="shared" si="96"/>
        <v>0</v>
      </c>
      <c r="K328" s="22">
        <f t="shared" si="97"/>
        <v>0</v>
      </c>
      <c r="L328" s="22">
        <f t="shared" si="98"/>
        <v>0</v>
      </c>
      <c r="M328" s="22">
        <f t="shared" si="98"/>
        <v>0</v>
      </c>
      <c r="N328" s="22">
        <f t="shared" si="94"/>
        <v>0</v>
      </c>
      <c r="O328" s="76"/>
      <c r="Q328" s="18"/>
      <c r="R328" s="18"/>
      <c r="S328" s="18"/>
      <c r="T328" s="18"/>
      <c r="U328" s="18"/>
      <c r="V328" s="19"/>
      <c r="W328" s="19"/>
      <c r="X328" s="19"/>
      <c r="Y328" s="19">
        <f t="shared" si="90"/>
        <v>0</v>
      </c>
      <c r="Z328" s="19">
        <f t="shared" si="91"/>
        <v>0</v>
      </c>
      <c r="AA328" s="19"/>
      <c r="AB328" s="19">
        <f t="shared" si="92"/>
        <v>0</v>
      </c>
      <c r="AC328" s="20">
        <v>41244</v>
      </c>
      <c r="AD328" s="20">
        <v>41274</v>
      </c>
      <c r="AE328" s="18"/>
    </row>
    <row r="329" spans="1:31" ht="18" customHeight="1">
      <c r="A329" s="38" t="s">
        <v>174</v>
      </c>
      <c r="B329" s="22"/>
      <c r="C329" s="22"/>
      <c r="D329" s="22">
        <f t="shared" si="93"/>
        <v>0</v>
      </c>
      <c r="E329" s="22">
        <f t="shared" si="93"/>
        <v>0</v>
      </c>
      <c r="F329" s="22"/>
      <c r="G329" s="22">
        <f t="shared" si="89"/>
        <v>0</v>
      </c>
      <c r="H329" s="22"/>
      <c r="I329" s="22">
        <f t="shared" si="95"/>
        <v>0</v>
      </c>
      <c r="J329" s="22">
        <f t="shared" si="96"/>
        <v>0</v>
      </c>
      <c r="K329" s="22">
        <f t="shared" si="97"/>
        <v>0</v>
      </c>
      <c r="L329" s="22">
        <f t="shared" si="98"/>
        <v>0</v>
      </c>
      <c r="M329" s="22">
        <f t="shared" si="98"/>
        <v>0</v>
      </c>
      <c r="N329" s="22">
        <f t="shared" si="94"/>
        <v>0</v>
      </c>
      <c r="O329" s="76"/>
      <c r="Q329" s="18"/>
      <c r="R329" s="18"/>
      <c r="S329" s="18"/>
      <c r="T329" s="18"/>
      <c r="U329" s="18"/>
      <c r="V329" s="19"/>
      <c r="W329" s="19"/>
      <c r="X329" s="19"/>
      <c r="Y329" s="19">
        <f t="shared" si="90"/>
        <v>0</v>
      </c>
      <c r="Z329" s="19">
        <f t="shared" si="91"/>
        <v>0</v>
      </c>
      <c r="AA329" s="19"/>
      <c r="AB329" s="19">
        <f t="shared" si="92"/>
        <v>0</v>
      </c>
      <c r="AC329" s="20">
        <v>41275</v>
      </c>
      <c r="AD329" s="20">
        <v>41305</v>
      </c>
      <c r="AE329" s="18"/>
    </row>
    <row r="330" spans="1:31" ht="18" customHeight="1">
      <c r="A330" s="38" t="s">
        <v>175</v>
      </c>
      <c r="B330" s="22"/>
      <c r="C330" s="22"/>
      <c r="D330" s="22">
        <f t="shared" si="93"/>
        <v>0</v>
      </c>
      <c r="E330" s="22">
        <f t="shared" si="93"/>
        <v>0</v>
      </c>
      <c r="F330" s="22"/>
      <c r="G330" s="22">
        <f t="shared" si="89"/>
        <v>0</v>
      </c>
      <c r="H330" s="22"/>
      <c r="I330" s="22">
        <f t="shared" si="95"/>
        <v>0</v>
      </c>
      <c r="J330" s="22">
        <f t="shared" si="96"/>
        <v>0</v>
      </c>
      <c r="K330" s="22">
        <f t="shared" si="97"/>
        <v>0</v>
      </c>
      <c r="L330" s="22">
        <f t="shared" si="98"/>
        <v>0</v>
      </c>
      <c r="M330" s="22">
        <f t="shared" si="98"/>
        <v>0</v>
      </c>
      <c r="N330" s="22">
        <f t="shared" si="94"/>
        <v>0</v>
      </c>
      <c r="O330" s="76"/>
      <c r="Q330" s="18"/>
      <c r="R330" s="18"/>
      <c r="S330" s="18"/>
      <c r="T330" s="18"/>
      <c r="U330" s="18"/>
      <c r="V330" s="19"/>
      <c r="W330" s="19"/>
      <c r="X330" s="19"/>
      <c r="Y330" s="19">
        <f t="shared" si="90"/>
        <v>0</v>
      </c>
      <c r="Z330" s="19">
        <f t="shared" si="91"/>
        <v>0</v>
      </c>
      <c r="AA330" s="19"/>
      <c r="AB330" s="19">
        <f t="shared" si="92"/>
        <v>0</v>
      </c>
      <c r="AC330" s="20">
        <v>41306</v>
      </c>
      <c r="AD330" s="20">
        <v>41333</v>
      </c>
      <c r="AE330" s="18"/>
    </row>
    <row r="331" spans="1:31" ht="18" customHeight="1">
      <c r="A331" s="38" t="s">
        <v>176</v>
      </c>
      <c r="B331" s="22"/>
      <c r="C331" s="22"/>
      <c r="D331" s="22">
        <f t="shared" si="93"/>
        <v>0</v>
      </c>
      <c r="E331" s="22">
        <f t="shared" si="93"/>
        <v>0</v>
      </c>
      <c r="F331" s="22"/>
      <c r="G331" s="22">
        <f t="shared" si="89"/>
        <v>0</v>
      </c>
      <c r="H331" s="22"/>
      <c r="I331" s="22">
        <f t="shared" si="95"/>
        <v>0</v>
      </c>
      <c r="J331" s="22">
        <f t="shared" si="96"/>
        <v>0</v>
      </c>
      <c r="K331" s="22">
        <f t="shared" si="97"/>
        <v>0</v>
      </c>
      <c r="L331" s="22">
        <f t="shared" si="98"/>
        <v>0</v>
      </c>
      <c r="M331" s="22">
        <f t="shared" si="98"/>
        <v>0</v>
      </c>
      <c r="N331" s="22">
        <f t="shared" si="94"/>
        <v>0</v>
      </c>
      <c r="O331" s="76"/>
      <c r="Q331" s="18"/>
      <c r="R331" s="18"/>
      <c r="S331" s="18"/>
      <c r="T331" s="18"/>
      <c r="U331" s="18"/>
      <c r="V331" s="19"/>
      <c r="W331" s="19"/>
      <c r="X331" s="19"/>
      <c r="Y331" s="19">
        <f t="shared" si="90"/>
        <v>0</v>
      </c>
      <c r="Z331" s="19">
        <f t="shared" si="91"/>
        <v>0</v>
      </c>
      <c r="AA331" s="19"/>
      <c r="AB331" s="19">
        <f t="shared" si="92"/>
        <v>0</v>
      </c>
      <c r="AC331" s="20">
        <v>41334</v>
      </c>
      <c r="AD331" s="20">
        <v>41364</v>
      </c>
      <c r="AE331" s="18"/>
    </row>
    <row r="332" spans="1:31" ht="18" customHeight="1" thickBot="1">
      <c r="A332" s="34" t="s">
        <v>177</v>
      </c>
      <c r="B332" s="35">
        <f t="shared" ref="B332:N332" si="99">SUM(B320:B331)</f>
        <v>0</v>
      </c>
      <c r="C332" s="35">
        <f t="shared" si="99"/>
        <v>0</v>
      </c>
      <c r="D332" s="35">
        <f t="shared" si="99"/>
        <v>0</v>
      </c>
      <c r="E332" s="35">
        <f t="shared" si="99"/>
        <v>0</v>
      </c>
      <c r="F332" s="35">
        <f t="shared" si="99"/>
        <v>0</v>
      </c>
      <c r="G332" s="35">
        <f t="shared" si="99"/>
        <v>0</v>
      </c>
      <c r="H332" s="35">
        <f t="shared" si="99"/>
        <v>0</v>
      </c>
      <c r="I332" s="35">
        <f t="shared" si="99"/>
        <v>0</v>
      </c>
      <c r="J332" s="35">
        <f t="shared" si="99"/>
        <v>0</v>
      </c>
      <c r="K332" s="35">
        <f t="shared" si="99"/>
        <v>0</v>
      </c>
      <c r="L332" s="35">
        <f t="shared" si="99"/>
        <v>0</v>
      </c>
      <c r="M332" s="35">
        <f t="shared" si="99"/>
        <v>0</v>
      </c>
      <c r="N332" s="35">
        <f t="shared" si="99"/>
        <v>0</v>
      </c>
      <c r="O332" s="37"/>
      <c r="Q332" s="77" t="s">
        <v>36</v>
      </c>
      <c r="R332" s="78"/>
      <c r="S332" s="78"/>
      <c r="T332" s="79"/>
      <c r="U332" s="27"/>
      <c r="V332" s="28">
        <f t="shared" ref="V332:AB332" si="100">SUM(V320:V331)</f>
        <v>0</v>
      </c>
      <c r="W332" s="28">
        <f t="shared" si="100"/>
        <v>0</v>
      </c>
      <c r="X332" s="28">
        <f t="shared" si="100"/>
        <v>0</v>
      </c>
      <c r="Y332" s="28">
        <f t="shared" si="100"/>
        <v>0</v>
      </c>
      <c r="Z332" s="28">
        <f t="shared" si="100"/>
        <v>0</v>
      </c>
      <c r="AA332" s="28">
        <f t="shared" si="100"/>
        <v>0</v>
      </c>
      <c r="AB332" s="28">
        <f t="shared" si="100"/>
        <v>0</v>
      </c>
      <c r="AC332" s="18"/>
      <c r="AD332" s="18"/>
      <c r="AE332" s="18"/>
    </row>
    <row r="333" spans="1:31" ht="15.75" thickBo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11"/>
      <c r="L333" s="11"/>
      <c r="M333" s="11"/>
      <c r="N333" s="9"/>
    </row>
    <row r="334" spans="1:31" ht="15.75" customHeight="1" thickBot="1">
      <c r="A334" s="9"/>
      <c r="B334" s="11"/>
      <c r="C334" s="11"/>
      <c r="D334" s="11"/>
      <c r="E334" s="9"/>
      <c r="F334" s="8">
        <v>1</v>
      </c>
      <c r="G334" s="56" t="s">
        <v>59</v>
      </c>
      <c r="H334" s="57"/>
      <c r="I334" s="57"/>
      <c r="J334" s="57"/>
      <c r="K334" s="58"/>
      <c r="L334" s="25">
        <f>K316</f>
        <v>0</v>
      </c>
      <c r="M334" s="5"/>
      <c r="O334" s="1"/>
      <c r="S334" s="29"/>
      <c r="T334" s="29"/>
      <c r="U334" s="29"/>
      <c r="AA334" s="15"/>
      <c r="AB334" s="15"/>
    </row>
    <row r="335" spans="1:31" ht="15.75" customHeight="1" thickBot="1">
      <c r="A335" s="9"/>
      <c r="B335" s="9"/>
      <c r="C335" s="9"/>
      <c r="D335" s="9"/>
      <c r="E335" s="9"/>
      <c r="F335" s="8">
        <v>2</v>
      </c>
      <c r="G335" s="56" t="s">
        <v>60</v>
      </c>
      <c r="H335" s="57"/>
      <c r="I335" s="57"/>
      <c r="J335" s="57"/>
      <c r="K335" s="58"/>
      <c r="L335" s="25">
        <f>B332+C332</f>
        <v>0</v>
      </c>
      <c r="M335" s="5"/>
      <c r="O335" s="1"/>
      <c r="S335" s="29"/>
      <c r="T335" s="29"/>
      <c r="U335" s="29"/>
      <c r="AA335" s="15"/>
      <c r="AB335" s="15"/>
    </row>
    <row r="336" spans="1:31" ht="15.75" thickBot="1">
      <c r="A336" s="9"/>
      <c r="B336" s="9"/>
      <c r="C336" s="9"/>
      <c r="D336" s="9"/>
      <c r="E336" s="9"/>
      <c r="F336" s="8">
        <v>3</v>
      </c>
      <c r="G336" s="56" t="s">
        <v>113</v>
      </c>
      <c r="H336" s="57"/>
      <c r="I336" s="57"/>
      <c r="J336" s="57"/>
      <c r="K336" s="58"/>
      <c r="L336" s="25">
        <f>F332</f>
        <v>0</v>
      </c>
      <c r="M336" s="5"/>
      <c r="O336" s="1"/>
      <c r="S336" s="29"/>
      <c r="T336" s="29"/>
      <c r="U336" s="29"/>
      <c r="AA336" s="15"/>
      <c r="AB336" s="15"/>
    </row>
    <row r="337" spans="1:28" ht="15.75" customHeight="1" thickBot="1">
      <c r="A337" s="9"/>
      <c r="B337" s="9"/>
      <c r="C337" s="9"/>
      <c r="D337" s="9"/>
      <c r="E337" s="9"/>
      <c r="F337" s="8">
        <v>4</v>
      </c>
      <c r="G337" s="56" t="s">
        <v>62</v>
      </c>
      <c r="H337" s="57"/>
      <c r="I337" s="57"/>
      <c r="J337" s="57"/>
      <c r="K337" s="58"/>
      <c r="L337" s="25">
        <f>L335+L336</f>
        <v>0</v>
      </c>
      <c r="M337" s="5"/>
      <c r="O337" s="1"/>
      <c r="S337" s="29"/>
      <c r="T337" s="29"/>
      <c r="U337" s="29"/>
      <c r="AA337" s="15"/>
      <c r="AB337" s="15"/>
    </row>
    <row r="338" spans="1:28" ht="15.75" customHeight="1" thickBot="1">
      <c r="A338" s="9"/>
      <c r="B338" s="9"/>
      <c r="C338" s="9"/>
      <c r="D338" s="9"/>
      <c r="E338" s="9"/>
      <c r="F338" s="8">
        <v>5</v>
      </c>
      <c r="G338" s="56" t="s">
        <v>18</v>
      </c>
      <c r="H338" s="57"/>
      <c r="I338" s="57"/>
      <c r="J338" s="57"/>
      <c r="K338" s="58"/>
      <c r="L338" s="25">
        <f>D332+E332</f>
        <v>0</v>
      </c>
      <c r="M338" s="5"/>
      <c r="O338" s="1"/>
      <c r="S338" s="29"/>
      <c r="T338" s="29"/>
      <c r="U338" s="29"/>
      <c r="AA338" s="15"/>
      <c r="AB338" s="15"/>
    </row>
    <row r="339" spans="1:28" ht="15.75" customHeight="1" thickBot="1">
      <c r="A339" s="9"/>
      <c r="B339" s="9"/>
      <c r="C339" s="9"/>
      <c r="D339" s="9"/>
      <c r="E339" s="9"/>
      <c r="F339" s="8">
        <v>6</v>
      </c>
      <c r="G339" s="56" t="s">
        <v>63</v>
      </c>
      <c r="H339" s="57"/>
      <c r="I339" s="57"/>
      <c r="J339" s="57"/>
      <c r="K339" s="58"/>
      <c r="L339" s="25">
        <f>L334+L337+L338</f>
        <v>0</v>
      </c>
      <c r="M339" s="5"/>
      <c r="O339" s="1"/>
      <c r="S339" s="29"/>
      <c r="T339" s="29"/>
      <c r="U339" s="29"/>
      <c r="AA339" s="15"/>
      <c r="AB339" s="15"/>
    </row>
    <row r="340" spans="1:28" ht="15.75" customHeight="1" thickBot="1">
      <c r="A340" s="9"/>
      <c r="B340" s="9"/>
      <c r="C340" s="9"/>
      <c r="D340" s="9"/>
      <c r="E340" s="9"/>
      <c r="F340" s="8">
        <v>7</v>
      </c>
      <c r="G340" s="56" t="s">
        <v>64</v>
      </c>
      <c r="H340" s="57"/>
      <c r="I340" s="57"/>
      <c r="J340" s="57"/>
      <c r="K340" s="58"/>
      <c r="L340" s="25">
        <f>H332</f>
        <v>0</v>
      </c>
      <c r="M340" s="5"/>
      <c r="O340" s="1"/>
      <c r="S340" s="29"/>
      <c r="T340" s="29"/>
      <c r="U340" s="29"/>
      <c r="AA340" s="15"/>
      <c r="AB340" s="15"/>
    </row>
    <row r="341" spans="1:28" ht="15.75" thickBot="1">
      <c r="A341" s="9"/>
      <c r="B341" s="9"/>
      <c r="C341" s="9"/>
      <c r="D341" s="9"/>
      <c r="E341" s="9"/>
      <c r="F341" s="8">
        <v>8</v>
      </c>
      <c r="G341" s="56" t="s">
        <v>25</v>
      </c>
      <c r="H341" s="57"/>
      <c r="I341" s="57"/>
      <c r="J341" s="57"/>
      <c r="K341" s="58"/>
      <c r="L341" s="25">
        <f>L332</f>
        <v>0</v>
      </c>
      <c r="M341" s="30"/>
      <c r="N341" s="11"/>
    </row>
    <row r="342" spans="1:28" ht="15.75" thickBot="1">
      <c r="A342" s="9"/>
      <c r="B342" s="9"/>
      <c r="C342" s="9"/>
      <c r="D342" s="9"/>
      <c r="E342" s="9"/>
      <c r="F342" s="8">
        <v>9</v>
      </c>
      <c r="G342" s="56" t="s">
        <v>26</v>
      </c>
      <c r="H342" s="57"/>
      <c r="I342" s="57"/>
      <c r="J342" s="57"/>
      <c r="K342" s="58"/>
      <c r="L342" s="25">
        <f>M332</f>
        <v>0</v>
      </c>
      <c r="M342" s="30"/>
      <c r="N342" s="11"/>
    </row>
    <row r="343" spans="1:28" ht="15.75" thickBot="1">
      <c r="A343" s="9"/>
      <c r="B343" s="9"/>
      <c r="C343" s="9"/>
      <c r="D343" s="9"/>
      <c r="E343" s="9"/>
      <c r="F343" s="8">
        <v>10</v>
      </c>
      <c r="G343" s="56" t="s">
        <v>65</v>
      </c>
      <c r="H343" s="57"/>
      <c r="I343" s="57"/>
      <c r="J343" s="57"/>
      <c r="K343" s="58"/>
      <c r="L343" s="25">
        <f>N332</f>
        <v>0</v>
      </c>
      <c r="M343" s="30"/>
      <c r="N343" s="11"/>
    </row>
    <row r="344" spans="1:28" ht="15.75" thickBot="1">
      <c r="A344" s="9"/>
      <c r="B344" s="9"/>
      <c r="C344" s="9"/>
      <c r="D344" s="9"/>
      <c r="E344" s="9"/>
      <c r="F344" s="8">
        <v>11</v>
      </c>
      <c r="G344" s="57" t="s">
        <v>178</v>
      </c>
      <c r="H344" s="57"/>
      <c r="I344" s="57"/>
      <c r="J344" s="57"/>
      <c r="K344" s="58"/>
      <c r="L344" s="25">
        <f>L339-L340+L343</f>
        <v>0</v>
      </c>
      <c r="M344" s="30"/>
      <c r="N344" s="11"/>
      <c r="P344" s="15"/>
    </row>
    <row r="345" spans="1:28">
      <c r="A345" s="9"/>
      <c r="B345" s="9"/>
      <c r="C345" s="9"/>
      <c r="D345" s="9"/>
      <c r="E345" s="9"/>
      <c r="F345" s="9"/>
      <c r="G345" s="30"/>
      <c r="H345" s="30"/>
      <c r="I345" s="30"/>
      <c r="J345" s="30"/>
      <c r="K345" s="30"/>
      <c r="L345" s="30"/>
      <c r="M345" s="30"/>
      <c r="N345" s="11"/>
    </row>
    <row r="346" spans="1:28">
      <c r="A346" s="9"/>
      <c r="B346" s="9"/>
      <c r="C346" s="9"/>
      <c r="D346" s="9"/>
      <c r="E346" s="9"/>
      <c r="F346" s="9"/>
      <c r="G346" s="30"/>
      <c r="H346" s="30"/>
      <c r="I346" s="30"/>
      <c r="J346" s="30"/>
      <c r="K346" s="30"/>
      <c r="L346" s="30"/>
      <c r="M346" s="30"/>
      <c r="N346" s="11"/>
    </row>
    <row r="347" spans="1:28">
      <c r="A347" s="9"/>
      <c r="B347" s="9"/>
      <c r="C347" s="9"/>
      <c r="D347" s="9"/>
      <c r="E347" s="9"/>
      <c r="F347" s="9"/>
      <c r="G347" s="30"/>
      <c r="H347" s="30"/>
      <c r="I347" s="30"/>
      <c r="J347" s="30"/>
      <c r="K347" s="30"/>
      <c r="L347" s="30"/>
      <c r="M347" s="30"/>
      <c r="N347" s="11"/>
    </row>
    <row r="348" spans="1:28">
      <c r="A348" s="9"/>
      <c r="B348" s="9"/>
      <c r="C348" s="9"/>
      <c r="D348" s="9"/>
      <c r="E348" s="9"/>
      <c r="F348" s="9"/>
      <c r="G348" s="30"/>
      <c r="H348" s="30"/>
      <c r="I348" s="30"/>
      <c r="J348" s="30"/>
      <c r="K348" s="30"/>
      <c r="L348" s="30"/>
      <c r="M348" s="30"/>
      <c r="N348" s="11"/>
    </row>
    <row r="349" spans="1:28" ht="18">
      <c r="A349" s="73" t="s">
        <v>2</v>
      </c>
      <c r="B349" s="73"/>
      <c r="C349" s="3"/>
      <c r="D349" s="3"/>
      <c r="E349" s="73" t="s">
        <v>3</v>
      </c>
      <c r="F349" s="73"/>
      <c r="G349" s="73"/>
      <c r="H349" s="74" t="s">
        <v>4</v>
      </c>
      <c r="I349" s="74"/>
      <c r="J349" s="74"/>
      <c r="K349" s="74"/>
      <c r="L349" s="74"/>
      <c r="M349" s="74"/>
      <c r="N349" s="74"/>
    </row>
    <row r="350" spans="1:28" ht="18">
      <c r="A350" s="3"/>
      <c r="B350" s="3"/>
      <c r="C350" s="3"/>
      <c r="D350" s="3"/>
      <c r="E350" s="3"/>
      <c r="F350" s="3"/>
      <c r="G350" s="4"/>
      <c r="H350" s="4"/>
      <c r="I350" s="4"/>
      <c r="J350" s="4"/>
    </row>
    <row r="351" spans="1:28" ht="18" hidden="1">
      <c r="A351" s="3"/>
      <c r="B351" s="3"/>
      <c r="C351" s="3"/>
      <c r="D351" s="3"/>
      <c r="E351" s="3"/>
      <c r="F351" s="3"/>
      <c r="G351" s="4"/>
      <c r="H351" s="4"/>
      <c r="I351" s="4"/>
      <c r="J351" s="4"/>
    </row>
    <row r="352" spans="1:28" ht="18.75" hidden="1">
      <c r="A352" s="67" t="s">
        <v>0</v>
      </c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</row>
    <row r="353" spans="1:15" ht="18.75" hidden="1">
      <c r="A353" s="67" t="s">
        <v>1</v>
      </c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</row>
    <row r="354" spans="1:15" hidden="1">
      <c r="A354" s="95" t="s">
        <v>179</v>
      </c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</row>
    <row r="355" spans="1:15" ht="22.5" hidden="1">
      <c r="A355" s="39" t="s">
        <v>7</v>
      </c>
      <c r="B355" s="40" t="e">
        <f>#REF!</f>
        <v>#REF!</v>
      </c>
      <c r="C355" s="40"/>
      <c r="D355" s="40"/>
      <c r="E355" s="39" t="s">
        <v>8</v>
      </c>
      <c r="F355" s="69" t="e">
        <f>#REF!</f>
        <v>#REF!</v>
      </c>
      <c r="G355" s="69"/>
      <c r="H355" s="69"/>
      <c r="I355" s="69"/>
      <c r="J355" s="69"/>
      <c r="K355" s="69"/>
      <c r="L355" s="69"/>
      <c r="M355" s="69"/>
      <c r="N355" s="69"/>
    </row>
    <row r="356" spans="1:15" hidden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11"/>
      <c r="L356" s="11"/>
      <c r="M356" s="11"/>
      <c r="N356" s="9"/>
    </row>
    <row r="357" spans="1:15" ht="22.5" hidden="1">
      <c r="A357" s="39" t="s">
        <v>9</v>
      </c>
      <c r="B357" s="40" t="e">
        <f>#REF!</f>
        <v>#REF!</v>
      </c>
      <c r="C357" s="40"/>
      <c r="D357" s="40"/>
      <c r="E357" s="39" t="s">
        <v>10</v>
      </c>
      <c r="F357" s="70"/>
      <c r="G357" s="71"/>
      <c r="H357" s="39" t="s">
        <v>11</v>
      </c>
      <c r="I357" s="39"/>
      <c r="J357" s="39"/>
      <c r="K357" s="72" t="e">
        <f>#REF!</f>
        <v>#REF!</v>
      </c>
      <c r="L357" s="72"/>
      <c r="M357" s="72"/>
      <c r="N357" s="72"/>
    </row>
    <row r="358" spans="1:15" hidden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11"/>
      <c r="L358" s="11"/>
      <c r="M358" s="11"/>
      <c r="N358" s="9"/>
    </row>
    <row r="359" spans="1:15" hidden="1">
      <c r="A359" s="39" t="s">
        <v>12</v>
      </c>
      <c r="B359" s="41">
        <v>8.6999999999999994E-2</v>
      </c>
      <c r="C359" s="41"/>
      <c r="D359" s="41"/>
      <c r="E359" s="39" t="s">
        <v>13</v>
      </c>
      <c r="F359" s="41">
        <v>0</v>
      </c>
      <c r="G359" s="59" t="s">
        <v>14</v>
      </c>
      <c r="H359" s="60"/>
      <c r="I359" s="42"/>
      <c r="J359" s="42"/>
      <c r="K359" s="61">
        <f>L340</f>
        <v>0</v>
      </c>
      <c r="L359" s="62"/>
      <c r="M359" s="62"/>
      <c r="N359" s="63"/>
    </row>
    <row r="360" spans="1:15" hidden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11"/>
      <c r="L360" s="11"/>
      <c r="M360" s="11"/>
      <c r="N360" s="9"/>
    </row>
    <row r="361" spans="1:15" ht="45" hidden="1">
      <c r="A361" s="43" t="s">
        <v>16</v>
      </c>
      <c r="B361" s="44" t="s">
        <v>17</v>
      </c>
      <c r="C361" s="44"/>
      <c r="D361" s="44"/>
      <c r="E361" s="44" t="s">
        <v>18</v>
      </c>
      <c r="F361" s="44" t="s">
        <v>180</v>
      </c>
      <c r="G361" s="44" t="s">
        <v>20</v>
      </c>
      <c r="H361" s="44" t="s">
        <v>21</v>
      </c>
      <c r="I361" s="44"/>
      <c r="J361" s="44"/>
      <c r="K361" s="45" t="s">
        <v>181</v>
      </c>
      <c r="L361" s="45"/>
      <c r="M361" s="45"/>
      <c r="N361" s="45" t="s">
        <v>182</v>
      </c>
      <c r="O361" s="46" t="s">
        <v>28</v>
      </c>
    </row>
    <row r="362" spans="1:15" hidden="1">
      <c r="A362" s="21" t="s">
        <v>183</v>
      </c>
      <c r="B362" s="22">
        <v>0</v>
      </c>
      <c r="C362" s="22"/>
      <c r="D362" s="22"/>
      <c r="E362" s="22">
        <f>B362</f>
        <v>0</v>
      </c>
      <c r="F362" s="22">
        <v>0</v>
      </c>
      <c r="G362" s="22">
        <f t="shared" ref="G362:G373" si="101">(E362+B362)+F362</f>
        <v>0</v>
      </c>
      <c r="H362" s="22">
        <v>0</v>
      </c>
      <c r="I362" s="22"/>
      <c r="J362" s="22"/>
      <c r="K362" s="22">
        <f>(K359+G362)-H362</f>
        <v>0</v>
      </c>
      <c r="L362" s="22"/>
      <c r="M362" s="22"/>
      <c r="N362" s="22">
        <f t="shared" ref="N362:N373" si="102">ROUND((K362*8.7/100)/12,0)</f>
        <v>0</v>
      </c>
      <c r="O362" s="76" t="s">
        <v>184</v>
      </c>
    </row>
    <row r="363" spans="1:15" hidden="1">
      <c r="A363" s="21" t="s">
        <v>185</v>
      </c>
      <c r="B363" s="22">
        <v>0</v>
      </c>
      <c r="C363" s="22"/>
      <c r="D363" s="22"/>
      <c r="E363" s="22">
        <f t="shared" ref="E363:E373" si="103">B363</f>
        <v>0</v>
      </c>
      <c r="F363" s="22">
        <v>0</v>
      </c>
      <c r="G363" s="22">
        <f t="shared" si="101"/>
        <v>0</v>
      </c>
      <c r="H363" s="22">
        <v>0</v>
      </c>
      <c r="I363" s="22"/>
      <c r="J363" s="22"/>
      <c r="K363" s="22">
        <f t="shared" ref="K363:K373" si="104">(K362+G363)-H363</f>
        <v>0</v>
      </c>
      <c r="L363" s="22"/>
      <c r="M363" s="22"/>
      <c r="N363" s="22">
        <f t="shared" si="102"/>
        <v>0</v>
      </c>
      <c r="O363" s="76"/>
    </row>
    <row r="364" spans="1:15" hidden="1">
      <c r="A364" s="21" t="s">
        <v>186</v>
      </c>
      <c r="B364" s="22">
        <v>0</v>
      </c>
      <c r="C364" s="22"/>
      <c r="D364" s="22"/>
      <c r="E364" s="22">
        <f t="shared" si="103"/>
        <v>0</v>
      </c>
      <c r="F364" s="22">
        <v>0</v>
      </c>
      <c r="G364" s="22">
        <f t="shared" si="101"/>
        <v>0</v>
      </c>
      <c r="H364" s="22">
        <v>0</v>
      </c>
      <c r="I364" s="22"/>
      <c r="J364" s="22"/>
      <c r="K364" s="22">
        <f t="shared" si="104"/>
        <v>0</v>
      </c>
      <c r="L364" s="22"/>
      <c r="M364" s="22"/>
      <c r="N364" s="22">
        <f t="shared" si="102"/>
        <v>0</v>
      </c>
      <c r="O364" s="76"/>
    </row>
    <row r="365" spans="1:15" hidden="1">
      <c r="A365" s="21" t="s">
        <v>187</v>
      </c>
      <c r="B365" s="22">
        <v>0</v>
      </c>
      <c r="C365" s="22"/>
      <c r="D365" s="22"/>
      <c r="E365" s="22">
        <f t="shared" si="103"/>
        <v>0</v>
      </c>
      <c r="F365" s="22">
        <v>0</v>
      </c>
      <c r="G365" s="22">
        <f t="shared" si="101"/>
        <v>0</v>
      </c>
      <c r="H365" s="22">
        <v>0</v>
      </c>
      <c r="I365" s="22"/>
      <c r="J365" s="22"/>
      <c r="K365" s="22">
        <f t="shared" si="104"/>
        <v>0</v>
      </c>
      <c r="L365" s="22"/>
      <c r="M365" s="22"/>
      <c r="N365" s="22">
        <f t="shared" si="102"/>
        <v>0</v>
      </c>
      <c r="O365" s="76"/>
    </row>
    <row r="366" spans="1:15" hidden="1">
      <c r="A366" s="21" t="s">
        <v>188</v>
      </c>
      <c r="B366" s="22">
        <v>0</v>
      </c>
      <c r="C366" s="22"/>
      <c r="D366" s="22"/>
      <c r="E366" s="22">
        <f t="shared" si="103"/>
        <v>0</v>
      </c>
      <c r="F366" s="22">
        <v>0</v>
      </c>
      <c r="G366" s="22">
        <f t="shared" si="101"/>
        <v>0</v>
      </c>
      <c r="H366" s="22">
        <v>0</v>
      </c>
      <c r="I366" s="22"/>
      <c r="J366" s="22"/>
      <c r="K366" s="22">
        <f t="shared" si="104"/>
        <v>0</v>
      </c>
      <c r="L366" s="22"/>
      <c r="M366" s="22"/>
      <c r="N366" s="22">
        <f t="shared" si="102"/>
        <v>0</v>
      </c>
      <c r="O366" s="76"/>
    </row>
    <row r="367" spans="1:15" hidden="1">
      <c r="A367" s="21" t="s">
        <v>189</v>
      </c>
      <c r="B367" s="22">
        <v>0</v>
      </c>
      <c r="C367" s="22"/>
      <c r="D367" s="22"/>
      <c r="E367" s="22">
        <f t="shared" si="103"/>
        <v>0</v>
      </c>
      <c r="F367" s="22">
        <v>0</v>
      </c>
      <c r="G367" s="22">
        <f t="shared" si="101"/>
        <v>0</v>
      </c>
      <c r="H367" s="22">
        <v>0</v>
      </c>
      <c r="I367" s="22"/>
      <c r="J367" s="22"/>
      <c r="K367" s="22">
        <f t="shared" si="104"/>
        <v>0</v>
      </c>
      <c r="L367" s="22"/>
      <c r="M367" s="22"/>
      <c r="N367" s="22">
        <f t="shared" si="102"/>
        <v>0</v>
      </c>
      <c r="O367" s="76"/>
    </row>
    <row r="368" spans="1:15" hidden="1">
      <c r="A368" s="21" t="s">
        <v>190</v>
      </c>
      <c r="B368" s="22">
        <v>0</v>
      </c>
      <c r="C368" s="22"/>
      <c r="D368" s="22"/>
      <c r="E368" s="22">
        <f t="shared" si="103"/>
        <v>0</v>
      </c>
      <c r="F368" s="22">
        <v>0</v>
      </c>
      <c r="G368" s="22">
        <f t="shared" si="101"/>
        <v>0</v>
      </c>
      <c r="H368" s="22">
        <v>0</v>
      </c>
      <c r="I368" s="22"/>
      <c r="J368" s="22"/>
      <c r="K368" s="22">
        <f t="shared" si="104"/>
        <v>0</v>
      </c>
      <c r="L368" s="22"/>
      <c r="M368" s="22"/>
      <c r="N368" s="22">
        <f t="shared" si="102"/>
        <v>0</v>
      </c>
      <c r="O368" s="76"/>
    </row>
    <row r="369" spans="1:15" hidden="1">
      <c r="A369" s="21" t="s">
        <v>191</v>
      </c>
      <c r="B369" s="22">
        <v>0</v>
      </c>
      <c r="C369" s="22"/>
      <c r="D369" s="22"/>
      <c r="E369" s="22">
        <f t="shared" si="103"/>
        <v>0</v>
      </c>
      <c r="F369" s="22">
        <v>0</v>
      </c>
      <c r="G369" s="22">
        <f t="shared" si="101"/>
        <v>0</v>
      </c>
      <c r="H369" s="22">
        <v>0</v>
      </c>
      <c r="I369" s="22"/>
      <c r="J369" s="22"/>
      <c r="K369" s="22">
        <f t="shared" si="104"/>
        <v>0</v>
      </c>
      <c r="L369" s="22"/>
      <c r="M369" s="22"/>
      <c r="N369" s="22">
        <f t="shared" si="102"/>
        <v>0</v>
      </c>
      <c r="O369" s="76"/>
    </row>
    <row r="370" spans="1:15" hidden="1">
      <c r="A370" s="21" t="s">
        <v>192</v>
      </c>
      <c r="B370" s="22">
        <v>0</v>
      </c>
      <c r="C370" s="22"/>
      <c r="D370" s="22"/>
      <c r="E370" s="22">
        <f t="shared" si="103"/>
        <v>0</v>
      </c>
      <c r="F370" s="22">
        <v>0</v>
      </c>
      <c r="G370" s="22">
        <f t="shared" si="101"/>
        <v>0</v>
      </c>
      <c r="H370" s="22">
        <v>0</v>
      </c>
      <c r="I370" s="22"/>
      <c r="J370" s="22"/>
      <c r="K370" s="22">
        <f t="shared" si="104"/>
        <v>0</v>
      </c>
      <c r="L370" s="22"/>
      <c r="M370" s="22"/>
      <c r="N370" s="22">
        <f t="shared" si="102"/>
        <v>0</v>
      </c>
      <c r="O370" s="76"/>
    </row>
    <row r="371" spans="1:15" hidden="1">
      <c r="A371" s="21" t="s">
        <v>193</v>
      </c>
      <c r="B371" s="22">
        <v>0</v>
      </c>
      <c r="C371" s="22"/>
      <c r="D371" s="22"/>
      <c r="E371" s="22">
        <f t="shared" si="103"/>
        <v>0</v>
      </c>
      <c r="F371" s="22">
        <v>0</v>
      </c>
      <c r="G371" s="22">
        <f t="shared" si="101"/>
        <v>0</v>
      </c>
      <c r="H371" s="22">
        <v>0</v>
      </c>
      <c r="I371" s="22"/>
      <c r="J371" s="22"/>
      <c r="K371" s="22">
        <f t="shared" si="104"/>
        <v>0</v>
      </c>
      <c r="L371" s="22"/>
      <c r="M371" s="22"/>
      <c r="N371" s="22">
        <f t="shared" si="102"/>
        <v>0</v>
      </c>
      <c r="O371" s="76"/>
    </row>
    <row r="372" spans="1:15" hidden="1">
      <c r="A372" s="21" t="s">
        <v>194</v>
      </c>
      <c r="B372" s="22">
        <v>0</v>
      </c>
      <c r="C372" s="22"/>
      <c r="D372" s="22"/>
      <c r="E372" s="22">
        <f t="shared" si="103"/>
        <v>0</v>
      </c>
      <c r="F372" s="22">
        <v>0</v>
      </c>
      <c r="G372" s="22">
        <f t="shared" si="101"/>
        <v>0</v>
      </c>
      <c r="H372" s="22">
        <v>0</v>
      </c>
      <c r="I372" s="22"/>
      <c r="J372" s="22"/>
      <c r="K372" s="22">
        <f t="shared" si="104"/>
        <v>0</v>
      </c>
      <c r="L372" s="22"/>
      <c r="M372" s="22"/>
      <c r="N372" s="22">
        <f t="shared" si="102"/>
        <v>0</v>
      </c>
      <c r="O372" s="76"/>
    </row>
    <row r="373" spans="1:15" hidden="1">
      <c r="A373" s="21" t="s">
        <v>195</v>
      </c>
      <c r="B373" s="22">
        <v>0</v>
      </c>
      <c r="C373" s="22"/>
      <c r="D373" s="22"/>
      <c r="E373" s="22">
        <f t="shared" si="103"/>
        <v>0</v>
      </c>
      <c r="F373" s="22">
        <v>0</v>
      </c>
      <c r="G373" s="22">
        <f t="shared" si="101"/>
        <v>0</v>
      </c>
      <c r="H373" s="22">
        <v>0</v>
      </c>
      <c r="I373" s="22"/>
      <c r="J373" s="22"/>
      <c r="K373" s="22">
        <f t="shared" si="104"/>
        <v>0</v>
      </c>
      <c r="L373" s="22"/>
      <c r="M373" s="22"/>
      <c r="N373" s="22">
        <f t="shared" si="102"/>
        <v>0</v>
      </c>
      <c r="O373" s="76"/>
    </row>
    <row r="374" spans="1:15" ht="15.75" hidden="1" thickBot="1">
      <c r="A374" s="34" t="s">
        <v>196</v>
      </c>
      <c r="B374" s="35">
        <f t="shared" ref="B374:N374" si="105">SUM(B362:B373)</f>
        <v>0</v>
      </c>
      <c r="C374" s="35"/>
      <c r="D374" s="35"/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/>
      <c r="J374" s="35"/>
      <c r="K374" s="35">
        <f>SUM(K362:K373)</f>
        <v>0</v>
      </c>
      <c r="L374" s="35"/>
      <c r="M374" s="35"/>
      <c r="N374" s="35">
        <f t="shared" si="105"/>
        <v>0</v>
      </c>
      <c r="O374" s="37"/>
    </row>
    <row r="375" spans="1:15" hidden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11"/>
      <c r="L375" s="11"/>
      <c r="M375" s="11"/>
      <c r="N375" s="9"/>
    </row>
    <row r="376" spans="1:15" ht="15.75" hidden="1" thickBot="1">
      <c r="A376" s="9"/>
      <c r="B376" s="11"/>
      <c r="C376" s="11"/>
      <c r="D376" s="11"/>
      <c r="E376" s="9"/>
      <c r="F376" s="9"/>
      <c r="G376" s="56" t="s">
        <v>59</v>
      </c>
      <c r="H376" s="57"/>
      <c r="I376" s="57"/>
      <c r="J376" s="57"/>
      <c r="K376" s="58"/>
      <c r="L376" s="10"/>
      <c r="M376" s="10"/>
      <c r="N376" s="47">
        <f>K359</f>
        <v>0</v>
      </c>
    </row>
    <row r="377" spans="1:15" ht="15.75" hidden="1" thickBot="1">
      <c r="A377" s="9"/>
      <c r="B377" s="9"/>
      <c r="C377" s="9"/>
      <c r="D377" s="9"/>
      <c r="E377" s="9"/>
      <c r="F377" s="9"/>
      <c r="G377" s="56" t="s">
        <v>197</v>
      </c>
      <c r="H377" s="57"/>
      <c r="I377" s="57"/>
      <c r="J377" s="57"/>
      <c r="K377" s="58"/>
      <c r="L377" s="10"/>
      <c r="M377" s="10"/>
      <c r="N377" s="47">
        <f>B374+F374</f>
        <v>0</v>
      </c>
    </row>
    <row r="378" spans="1:15" ht="15.75" hidden="1" thickBot="1">
      <c r="A378" s="9"/>
      <c r="B378" s="9"/>
      <c r="C378" s="9"/>
      <c r="D378" s="9"/>
      <c r="E378" s="9"/>
      <c r="F378" s="9"/>
      <c r="G378" s="56" t="s">
        <v>18</v>
      </c>
      <c r="H378" s="57"/>
      <c r="I378" s="57"/>
      <c r="J378" s="57"/>
      <c r="K378" s="58"/>
      <c r="L378" s="10"/>
      <c r="M378" s="10"/>
      <c r="N378" s="47">
        <f>E374</f>
        <v>0</v>
      </c>
    </row>
    <row r="379" spans="1:15" ht="15.75" hidden="1" thickBot="1">
      <c r="A379" s="9"/>
      <c r="B379" s="9"/>
      <c r="C379" s="9"/>
      <c r="D379" s="9"/>
      <c r="E379" s="9"/>
      <c r="F379" s="9"/>
      <c r="G379" s="56" t="s">
        <v>198</v>
      </c>
      <c r="H379" s="57"/>
      <c r="I379" s="57"/>
      <c r="J379" s="57"/>
      <c r="K379" s="58"/>
      <c r="L379" s="10"/>
      <c r="M379" s="10"/>
      <c r="N379" s="47">
        <f>SUM(N376:N378)</f>
        <v>0</v>
      </c>
    </row>
    <row r="380" spans="1:15" ht="15.75" hidden="1" thickBot="1">
      <c r="A380" s="9"/>
      <c r="B380" s="9"/>
      <c r="C380" s="9"/>
      <c r="D380" s="9"/>
      <c r="E380" s="9"/>
      <c r="F380" s="9"/>
      <c r="G380" s="56" t="s">
        <v>64</v>
      </c>
      <c r="H380" s="57"/>
      <c r="I380" s="57"/>
      <c r="J380" s="57"/>
      <c r="K380" s="58"/>
      <c r="L380" s="10"/>
      <c r="M380" s="10"/>
      <c r="N380" s="47">
        <f>H374</f>
        <v>0</v>
      </c>
    </row>
    <row r="381" spans="1:15" ht="15.75" hidden="1" thickBot="1">
      <c r="A381" s="9"/>
      <c r="B381" s="9"/>
      <c r="C381" s="9"/>
      <c r="D381" s="9"/>
      <c r="E381" s="9"/>
      <c r="F381" s="9"/>
      <c r="G381" s="56" t="s">
        <v>199</v>
      </c>
      <c r="H381" s="57"/>
      <c r="I381" s="57"/>
      <c r="J381" s="57"/>
      <c r="K381" s="58"/>
      <c r="L381" s="10"/>
      <c r="M381" s="10"/>
      <c r="N381" s="47">
        <f>N374</f>
        <v>0</v>
      </c>
    </row>
    <row r="382" spans="1:15" ht="15.75" hidden="1" thickBot="1">
      <c r="A382" s="9"/>
      <c r="B382" s="9"/>
      <c r="C382" s="9"/>
      <c r="D382" s="9"/>
      <c r="E382" s="9"/>
      <c r="F382" s="9"/>
      <c r="G382" s="56" t="s">
        <v>200</v>
      </c>
      <c r="H382" s="57"/>
      <c r="I382" s="57"/>
      <c r="J382" s="57"/>
      <c r="K382" s="58"/>
      <c r="L382" s="10"/>
      <c r="M382" s="10"/>
      <c r="N382" s="47">
        <f>(N379-N380)+N381</f>
        <v>0</v>
      </c>
    </row>
    <row r="383" spans="1:15" hidden="1">
      <c r="A383" s="9"/>
      <c r="B383" s="9"/>
      <c r="C383" s="9"/>
      <c r="D383" s="9"/>
      <c r="E383" s="9"/>
      <c r="F383" s="9"/>
      <c r="G383" s="30"/>
      <c r="H383" s="30"/>
      <c r="I383" s="30"/>
      <c r="J383" s="30"/>
      <c r="K383" s="30"/>
      <c r="L383" s="30"/>
      <c r="M383" s="30"/>
      <c r="N383" s="11"/>
    </row>
    <row r="384" spans="1:15"/>
    <row r="385" spans="1:15" hidden="1">
      <c r="A385" s="95" t="s">
        <v>201</v>
      </c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</row>
    <row r="386" spans="1:15" ht="22.5" hidden="1">
      <c r="A386" s="39" t="s">
        <v>7</v>
      </c>
      <c r="B386" s="40" t="e">
        <f>#REF!</f>
        <v>#REF!</v>
      </c>
      <c r="C386" s="40"/>
      <c r="D386" s="40"/>
      <c r="E386" s="39" t="s">
        <v>8</v>
      </c>
      <c r="F386" s="69" t="e">
        <f>#REF!</f>
        <v>#REF!</v>
      </c>
      <c r="G386" s="69"/>
      <c r="H386" s="69"/>
      <c r="I386" s="69"/>
      <c r="J386" s="69"/>
      <c r="K386" s="69"/>
      <c r="L386" s="69"/>
      <c r="M386" s="69"/>
      <c r="N386" s="69"/>
    </row>
    <row r="387" spans="1:15" hidden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11"/>
      <c r="L387" s="11"/>
      <c r="M387" s="11"/>
      <c r="N387" s="9"/>
    </row>
    <row r="388" spans="1:15" ht="22.5" hidden="1">
      <c r="A388" s="39" t="s">
        <v>9</v>
      </c>
      <c r="B388" s="40" t="e">
        <f>#REF!</f>
        <v>#REF!</v>
      </c>
      <c r="C388" s="40"/>
      <c r="D388" s="40"/>
      <c r="E388" s="39" t="s">
        <v>10</v>
      </c>
      <c r="F388" s="70"/>
      <c r="G388" s="71"/>
      <c r="H388" s="39" t="s">
        <v>11</v>
      </c>
      <c r="I388" s="39"/>
      <c r="J388" s="39"/>
      <c r="K388" s="72" t="e">
        <f>#REF!</f>
        <v>#REF!</v>
      </c>
      <c r="L388" s="72"/>
      <c r="M388" s="72"/>
      <c r="N388" s="72"/>
    </row>
    <row r="389" spans="1:15" hidden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11"/>
      <c r="L389" s="11"/>
      <c r="M389" s="11"/>
      <c r="N389" s="9"/>
    </row>
    <row r="390" spans="1:15" hidden="1">
      <c r="A390" s="39" t="s">
        <v>12</v>
      </c>
      <c r="B390" s="41">
        <v>8.6999999999999994E-2</v>
      </c>
      <c r="C390" s="41"/>
      <c r="D390" s="41"/>
      <c r="E390" s="39" t="s">
        <v>13</v>
      </c>
      <c r="F390" s="41">
        <v>0</v>
      </c>
      <c r="G390" s="59" t="s">
        <v>14</v>
      </c>
      <c r="H390" s="60"/>
      <c r="I390" s="42"/>
      <c r="J390" s="42"/>
      <c r="K390" s="61" t="e">
        <f>#REF!</f>
        <v>#REF!</v>
      </c>
      <c r="L390" s="62"/>
      <c r="M390" s="62"/>
      <c r="N390" s="63"/>
    </row>
    <row r="391" spans="1:15" hidden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11"/>
      <c r="L391" s="11"/>
      <c r="M391" s="11"/>
      <c r="N391" s="9"/>
    </row>
    <row r="392" spans="1:15" ht="45" hidden="1">
      <c r="A392" s="48" t="s">
        <v>16</v>
      </c>
      <c r="B392" s="48" t="s">
        <v>17</v>
      </c>
      <c r="C392" s="48"/>
      <c r="D392" s="48"/>
      <c r="E392" s="48" t="s">
        <v>18</v>
      </c>
      <c r="F392" s="48" t="s">
        <v>180</v>
      </c>
      <c r="G392" s="48" t="s">
        <v>20</v>
      </c>
      <c r="H392" s="48" t="s">
        <v>21</v>
      </c>
      <c r="I392" s="48"/>
      <c r="J392" s="48"/>
      <c r="K392" s="49" t="s">
        <v>181</v>
      </c>
      <c r="L392" s="49"/>
      <c r="M392" s="49"/>
      <c r="N392" s="49" t="s">
        <v>182</v>
      </c>
      <c r="O392" s="50" t="s">
        <v>28</v>
      </c>
    </row>
    <row r="393" spans="1:15" hidden="1">
      <c r="A393" s="39" t="s">
        <v>202</v>
      </c>
      <c r="B393" s="51">
        <v>300</v>
      </c>
      <c r="C393" s="51"/>
      <c r="D393" s="51"/>
      <c r="E393" s="51">
        <f>B393</f>
        <v>300</v>
      </c>
      <c r="F393" s="51">
        <v>0</v>
      </c>
      <c r="G393" s="51">
        <f t="shared" ref="G393:G404" si="106">(E393+B393)+F393</f>
        <v>600</v>
      </c>
      <c r="H393" s="51">
        <v>0</v>
      </c>
      <c r="I393" s="51"/>
      <c r="J393" s="51"/>
      <c r="K393" s="51" t="e">
        <f>(K390+G393)-H393</f>
        <v>#REF!</v>
      </c>
      <c r="L393" s="52"/>
      <c r="M393" s="52"/>
      <c r="N393" s="52" t="e">
        <f>ROUND((K393*8.7/100)/12,0)</f>
        <v>#REF!</v>
      </c>
      <c r="O393" s="64" t="s">
        <v>184</v>
      </c>
    </row>
    <row r="394" spans="1:15" hidden="1">
      <c r="A394" s="39" t="s">
        <v>203</v>
      </c>
      <c r="B394" s="51">
        <v>300</v>
      </c>
      <c r="C394" s="51"/>
      <c r="D394" s="51"/>
      <c r="E394" s="51">
        <f t="shared" ref="E394:E404" si="107">B394</f>
        <v>300</v>
      </c>
      <c r="F394" s="51">
        <v>0</v>
      </c>
      <c r="G394" s="51">
        <f t="shared" si="106"/>
        <v>600</v>
      </c>
      <c r="H394" s="51">
        <v>0</v>
      </c>
      <c r="I394" s="17"/>
      <c r="J394" s="17"/>
      <c r="K394" s="22" t="e">
        <f t="shared" ref="K394:K404" si="108">(K393+G394)-H394</f>
        <v>#REF!</v>
      </c>
      <c r="L394" s="53"/>
      <c r="M394" s="53"/>
      <c r="N394" s="52" t="e">
        <f t="shared" ref="N394:N404" si="109">ROUND((K394*8.7/100)/12,0)</f>
        <v>#REF!</v>
      </c>
      <c r="O394" s="65"/>
    </row>
    <row r="395" spans="1:15" hidden="1">
      <c r="A395" s="39" t="s">
        <v>204</v>
      </c>
      <c r="B395" s="51">
        <v>300</v>
      </c>
      <c r="C395" s="51"/>
      <c r="D395" s="51"/>
      <c r="E395" s="51">
        <f t="shared" si="107"/>
        <v>300</v>
      </c>
      <c r="F395" s="51">
        <v>0</v>
      </c>
      <c r="G395" s="51">
        <f t="shared" si="106"/>
        <v>600</v>
      </c>
      <c r="H395" s="51">
        <v>0</v>
      </c>
      <c r="I395" s="17"/>
      <c r="J395" s="17"/>
      <c r="K395" s="22" t="e">
        <f t="shared" si="108"/>
        <v>#REF!</v>
      </c>
      <c r="L395" s="53"/>
      <c r="M395" s="53"/>
      <c r="N395" s="52" t="e">
        <f t="shared" si="109"/>
        <v>#REF!</v>
      </c>
      <c r="O395" s="65"/>
    </row>
    <row r="396" spans="1:15" hidden="1">
      <c r="A396" s="39" t="s">
        <v>205</v>
      </c>
      <c r="B396" s="51">
        <v>300</v>
      </c>
      <c r="C396" s="51"/>
      <c r="D396" s="51"/>
      <c r="E396" s="51">
        <f t="shared" si="107"/>
        <v>300</v>
      </c>
      <c r="F396" s="51">
        <v>0</v>
      </c>
      <c r="G396" s="51">
        <f t="shared" si="106"/>
        <v>600</v>
      </c>
      <c r="H396" s="51">
        <v>0</v>
      </c>
      <c r="I396" s="17"/>
      <c r="J396" s="17"/>
      <c r="K396" s="22" t="e">
        <f t="shared" si="108"/>
        <v>#REF!</v>
      </c>
      <c r="L396" s="53"/>
      <c r="M396" s="53"/>
      <c r="N396" s="52" t="e">
        <f t="shared" si="109"/>
        <v>#REF!</v>
      </c>
      <c r="O396" s="65"/>
    </row>
    <row r="397" spans="1:15" hidden="1">
      <c r="A397" s="39" t="s">
        <v>206</v>
      </c>
      <c r="B397" s="51">
        <v>300</v>
      </c>
      <c r="C397" s="51"/>
      <c r="D397" s="51"/>
      <c r="E397" s="51">
        <f t="shared" si="107"/>
        <v>300</v>
      </c>
      <c r="F397" s="51">
        <v>0</v>
      </c>
      <c r="G397" s="51">
        <f t="shared" si="106"/>
        <v>600</v>
      </c>
      <c r="H397" s="51">
        <v>0</v>
      </c>
      <c r="I397" s="17"/>
      <c r="J397" s="17"/>
      <c r="K397" s="22" t="e">
        <f t="shared" si="108"/>
        <v>#REF!</v>
      </c>
      <c r="L397" s="53"/>
      <c r="M397" s="53"/>
      <c r="N397" s="52" t="e">
        <f t="shared" si="109"/>
        <v>#REF!</v>
      </c>
      <c r="O397" s="65"/>
    </row>
    <row r="398" spans="1:15" hidden="1">
      <c r="A398" s="39" t="s">
        <v>207</v>
      </c>
      <c r="B398" s="51">
        <v>300</v>
      </c>
      <c r="C398" s="51"/>
      <c r="D398" s="51"/>
      <c r="E398" s="51">
        <f t="shared" si="107"/>
        <v>300</v>
      </c>
      <c r="F398" s="51">
        <v>0</v>
      </c>
      <c r="G398" s="51">
        <f t="shared" si="106"/>
        <v>600</v>
      </c>
      <c r="H398" s="51">
        <v>0</v>
      </c>
      <c r="I398" s="17"/>
      <c r="J398" s="17"/>
      <c r="K398" s="22" t="e">
        <f t="shared" si="108"/>
        <v>#REF!</v>
      </c>
      <c r="L398" s="53"/>
      <c r="M398" s="53"/>
      <c r="N398" s="52" t="e">
        <f t="shared" si="109"/>
        <v>#REF!</v>
      </c>
      <c r="O398" s="65"/>
    </row>
    <row r="399" spans="1:15" hidden="1">
      <c r="A399" s="39" t="s">
        <v>208</v>
      </c>
      <c r="B399" s="51">
        <v>300</v>
      </c>
      <c r="C399" s="51"/>
      <c r="D399" s="51"/>
      <c r="E399" s="51">
        <f t="shared" si="107"/>
        <v>300</v>
      </c>
      <c r="F399" s="51">
        <v>0</v>
      </c>
      <c r="G399" s="51">
        <f t="shared" si="106"/>
        <v>600</v>
      </c>
      <c r="H399" s="51">
        <v>0</v>
      </c>
      <c r="I399" s="17"/>
      <c r="J399" s="17"/>
      <c r="K399" s="22" t="e">
        <f t="shared" si="108"/>
        <v>#REF!</v>
      </c>
      <c r="L399" s="53"/>
      <c r="M399" s="53"/>
      <c r="N399" s="52" t="e">
        <f t="shared" si="109"/>
        <v>#REF!</v>
      </c>
      <c r="O399" s="65"/>
    </row>
    <row r="400" spans="1:15" hidden="1">
      <c r="A400" s="39" t="s">
        <v>209</v>
      </c>
      <c r="B400" s="51">
        <v>300</v>
      </c>
      <c r="C400" s="51"/>
      <c r="D400" s="51"/>
      <c r="E400" s="51">
        <f t="shared" si="107"/>
        <v>300</v>
      </c>
      <c r="F400" s="51">
        <v>0</v>
      </c>
      <c r="G400" s="51">
        <f t="shared" si="106"/>
        <v>600</v>
      </c>
      <c r="H400" s="51">
        <v>0</v>
      </c>
      <c r="I400" s="17"/>
      <c r="J400" s="17"/>
      <c r="K400" s="22" t="e">
        <f t="shared" si="108"/>
        <v>#REF!</v>
      </c>
      <c r="L400" s="53"/>
      <c r="M400" s="53"/>
      <c r="N400" s="52" t="e">
        <f t="shared" si="109"/>
        <v>#REF!</v>
      </c>
      <c r="O400" s="65"/>
    </row>
    <row r="401" spans="1:15" hidden="1">
      <c r="A401" s="39" t="s">
        <v>210</v>
      </c>
      <c r="B401" s="51">
        <v>300</v>
      </c>
      <c r="C401" s="51"/>
      <c r="D401" s="51"/>
      <c r="E401" s="51">
        <f t="shared" si="107"/>
        <v>300</v>
      </c>
      <c r="F401" s="51">
        <v>0</v>
      </c>
      <c r="G401" s="51">
        <f t="shared" si="106"/>
        <v>600</v>
      </c>
      <c r="H401" s="51">
        <v>0</v>
      </c>
      <c r="I401" s="17"/>
      <c r="J401" s="17"/>
      <c r="K401" s="22" t="e">
        <f t="shared" si="108"/>
        <v>#REF!</v>
      </c>
      <c r="L401" s="53"/>
      <c r="M401" s="53"/>
      <c r="N401" s="52" t="e">
        <f t="shared" si="109"/>
        <v>#REF!</v>
      </c>
      <c r="O401" s="65"/>
    </row>
    <row r="402" spans="1:15" hidden="1">
      <c r="A402" s="39" t="s">
        <v>211</v>
      </c>
      <c r="B402" s="51">
        <v>300</v>
      </c>
      <c r="C402" s="51"/>
      <c r="D402" s="51"/>
      <c r="E402" s="51">
        <f t="shared" si="107"/>
        <v>300</v>
      </c>
      <c r="F402" s="51">
        <v>0</v>
      </c>
      <c r="G402" s="51">
        <f t="shared" si="106"/>
        <v>600</v>
      </c>
      <c r="H402" s="51">
        <v>0</v>
      </c>
      <c r="I402" s="17"/>
      <c r="J402" s="17"/>
      <c r="K402" s="22" t="e">
        <f t="shared" si="108"/>
        <v>#REF!</v>
      </c>
      <c r="L402" s="53"/>
      <c r="M402" s="53"/>
      <c r="N402" s="52" t="e">
        <f t="shared" si="109"/>
        <v>#REF!</v>
      </c>
      <c r="O402" s="65"/>
    </row>
    <row r="403" spans="1:15" hidden="1">
      <c r="A403" s="39" t="s">
        <v>212</v>
      </c>
      <c r="B403" s="51">
        <v>300</v>
      </c>
      <c r="C403" s="51"/>
      <c r="D403" s="51"/>
      <c r="E403" s="51">
        <f t="shared" si="107"/>
        <v>300</v>
      </c>
      <c r="F403" s="51">
        <v>0</v>
      </c>
      <c r="G403" s="51">
        <f t="shared" si="106"/>
        <v>600</v>
      </c>
      <c r="H403" s="51">
        <v>0</v>
      </c>
      <c r="I403" s="17"/>
      <c r="J403" s="17"/>
      <c r="K403" s="22" t="e">
        <f t="shared" si="108"/>
        <v>#REF!</v>
      </c>
      <c r="L403" s="53"/>
      <c r="M403" s="53"/>
      <c r="N403" s="52" t="e">
        <f t="shared" si="109"/>
        <v>#REF!</v>
      </c>
      <c r="O403" s="65"/>
    </row>
    <row r="404" spans="1:15" hidden="1">
      <c r="A404" s="39" t="s">
        <v>213</v>
      </c>
      <c r="B404" s="51">
        <v>300</v>
      </c>
      <c r="C404" s="51"/>
      <c r="D404" s="51"/>
      <c r="E404" s="51">
        <f t="shared" si="107"/>
        <v>300</v>
      </c>
      <c r="F404" s="51">
        <v>0</v>
      </c>
      <c r="G404" s="51">
        <f t="shared" si="106"/>
        <v>600</v>
      </c>
      <c r="H404" s="51">
        <v>0</v>
      </c>
      <c r="I404" s="17"/>
      <c r="J404" s="17"/>
      <c r="K404" s="22" t="e">
        <f t="shared" si="108"/>
        <v>#REF!</v>
      </c>
      <c r="L404" s="53"/>
      <c r="M404" s="53"/>
      <c r="N404" s="52" t="e">
        <f t="shared" si="109"/>
        <v>#REF!</v>
      </c>
      <c r="O404" s="66"/>
    </row>
    <row r="405" spans="1:15" hidden="1">
      <c r="A405" s="39" t="s">
        <v>214</v>
      </c>
      <c r="B405" s="54">
        <f t="shared" ref="B405:N405" si="110">SUM(B393:B404)</f>
        <v>3600</v>
      </c>
      <c r="C405" s="54"/>
      <c r="D405" s="54"/>
      <c r="E405" s="54">
        <f t="shared" si="110"/>
        <v>3600</v>
      </c>
      <c r="F405" s="54">
        <f t="shared" si="110"/>
        <v>0</v>
      </c>
      <c r="G405" s="54">
        <f t="shared" si="110"/>
        <v>7200</v>
      </c>
      <c r="H405" s="54">
        <f t="shared" si="110"/>
        <v>0</v>
      </c>
      <c r="I405" s="54"/>
      <c r="J405" s="54"/>
      <c r="K405" s="54" t="e">
        <f>SUM(K393:K404)</f>
        <v>#REF!</v>
      </c>
      <c r="L405" s="54"/>
      <c r="M405" s="54"/>
      <c r="N405" s="54" t="e">
        <f t="shared" si="110"/>
        <v>#REF!</v>
      </c>
    </row>
    <row r="406" spans="1:15" hidden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11"/>
      <c r="L406" s="11"/>
      <c r="M406" s="11"/>
      <c r="N406" s="9"/>
    </row>
    <row r="407" spans="1:15" ht="15.75" hidden="1" thickBot="1">
      <c r="A407" s="9"/>
      <c r="B407" s="11"/>
      <c r="C407" s="11"/>
      <c r="D407" s="11"/>
      <c r="E407" s="9"/>
      <c r="F407" s="9"/>
      <c r="G407" s="56" t="s">
        <v>59</v>
      </c>
      <c r="H407" s="57"/>
      <c r="I407" s="57"/>
      <c r="J407" s="57"/>
      <c r="K407" s="58"/>
      <c r="L407" s="10"/>
      <c r="M407" s="10"/>
      <c r="N407" s="47" t="e">
        <f>K390</f>
        <v>#REF!</v>
      </c>
    </row>
    <row r="408" spans="1:15" ht="15.75" hidden="1" thickBot="1">
      <c r="A408" s="9"/>
      <c r="B408" s="9"/>
      <c r="C408" s="9"/>
      <c r="D408" s="9"/>
      <c r="E408" s="9"/>
      <c r="F408" s="9"/>
      <c r="G408" s="56" t="s">
        <v>197</v>
      </c>
      <c r="H408" s="57"/>
      <c r="I408" s="57"/>
      <c r="J408" s="57"/>
      <c r="K408" s="58"/>
      <c r="L408" s="10"/>
      <c r="M408" s="10"/>
      <c r="N408" s="47">
        <f>B405+F405</f>
        <v>3600</v>
      </c>
    </row>
    <row r="409" spans="1:15" ht="15.75" hidden="1" thickBot="1">
      <c r="A409" s="9"/>
      <c r="B409" s="9"/>
      <c r="C409" s="9"/>
      <c r="D409" s="9"/>
      <c r="E409" s="9"/>
      <c r="F409" s="9"/>
      <c r="G409" s="56" t="s">
        <v>18</v>
      </c>
      <c r="H409" s="57"/>
      <c r="I409" s="57"/>
      <c r="J409" s="57"/>
      <c r="K409" s="58"/>
      <c r="L409" s="10"/>
      <c r="M409" s="10"/>
      <c r="N409" s="47">
        <f>E405</f>
        <v>3600</v>
      </c>
    </row>
    <row r="410" spans="1:15" ht="15.75" hidden="1" thickBot="1">
      <c r="A410" s="9"/>
      <c r="B410" s="9"/>
      <c r="C410" s="9"/>
      <c r="D410" s="9"/>
      <c r="E410" s="9"/>
      <c r="F410" s="9"/>
      <c r="G410" s="56" t="s">
        <v>198</v>
      </c>
      <c r="H410" s="57"/>
      <c r="I410" s="57"/>
      <c r="J410" s="57"/>
      <c r="K410" s="58"/>
      <c r="L410" s="10"/>
      <c r="M410" s="10"/>
      <c r="N410" s="47" t="e">
        <f>SUM(N407:N409)</f>
        <v>#REF!</v>
      </c>
    </row>
    <row r="411" spans="1:15" ht="15.75" hidden="1" thickBot="1">
      <c r="A411" s="9"/>
      <c r="B411" s="9"/>
      <c r="C411" s="9"/>
      <c r="D411" s="9"/>
      <c r="E411" s="9"/>
      <c r="F411" s="9"/>
      <c r="G411" s="56" t="s">
        <v>64</v>
      </c>
      <c r="H411" s="57"/>
      <c r="I411" s="57"/>
      <c r="J411" s="57"/>
      <c r="K411" s="58"/>
      <c r="L411" s="10"/>
      <c r="M411" s="10"/>
      <c r="N411" s="47">
        <f>H405</f>
        <v>0</v>
      </c>
    </row>
    <row r="412" spans="1:15" ht="15.75" hidden="1" thickBot="1">
      <c r="A412" s="9"/>
      <c r="B412" s="9"/>
      <c r="C412" s="9"/>
      <c r="D412" s="9"/>
      <c r="E412" s="9"/>
      <c r="F412" s="9"/>
      <c r="G412" s="56" t="s">
        <v>199</v>
      </c>
      <c r="H412" s="57"/>
      <c r="I412" s="57"/>
      <c r="J412" s="57"/>
      <c r="K412" s="58"/>
      <c r="L412" s="10"/>
      <c r="M412" s="10"/>
      <c r="N412" s="47" t="e">
        <f>N405</f>
        <v>#REF!</v>
      </c>
    </row>
    <row r="413" spans="1:15" ht="15.75" hidden="1" thickBot="1">
      <c r="A413" s="9"/>
      <c r="B413" s="9"/>
      <c r="C413" s="9"/>
      <c r="D413" s="9"/>
      <c r="E413" s="9"/>
      <c r="F413" s="9"/>
      <c r="G413" s="56" t="s">
        <v>200</v>
      </c>
      <c r="H413" s="57"/>
      <c r="I413" s="57"/>
      <c r="J413" s="57"/>
      <c r="K413" s="58"/>
      <c r="L413" s="10"/>
      <c r="M413" s="10"/>
      <c r="N413" s="47" t="e">
        <f>(N410-N411)+N412</f>
        <v>#REF!</v>
      </c>
    </row>
    <row r="414" spans="1:15" hidden="1">
      <c r="A414" s="9"/>
      <c r="B414" s="9"/>
      <c r="C414" s="9"/>
      <c r="D414" s="9"/>
      <c r="E414" s="9"/>
      <c r="F414" s="9"/>
      <c r="G414" s="30"/>
      <c r="H414" s="30"/>
      <c r="I414" s="30"/>
      <c r="J414" s="30"/>
      <c r="K414" s="30"/>
      <c r="L414" s="30"/>
      <c r="M414" s="30"/>
      <c r="N414" s="11"/>
    </row>
    <row r="415" spans="1:15" ht="18.75">
      <c r="A415" s="67" t="s">
        <v>0</v>
      </c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</row>
    <row r="416" spans="1:15" ht="18.75">
      <c r="A416" s="67" t="s">
        <v>1</v>
      </c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</row>
    <row r="417" spans="1:31"/>
    <row r="418" spans="1:31" ht="15.75" thickBot="1">
      <c r="A418" s="95" t="s">
        <v>215</v>
      </c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</row>
    <row r="419" spans="1:31" s="6" customFormat="1" ht="36" customHeight="1" thickBot="1">
      <c r="A419" s="7" t="s">
        <v>7</v>
      </c>
      <c r="B419" s="8">
        <f>B312</f>
        <v>0</v>
      </c>
      <c r="C419" s="9"/>
      <c r="D419" s="9"/>
      <c r="E419" s="56" t="s">
        <v>8</v>
      </c>
      <c r="F419" s="58">
        <f>F377</f>
        <v>0</v>
      </c>
      <c r="G419" s="9"/>
      <c r="H419" s="56">
        <f>H312</f>
        <v>0</v>
      </c>
      <c r="I419" s="57"/>
      <c r="J419" s="57"/>
      <c r="K419" s="57"/>
      <c r="L419" s="57"/>
      <c r="M419" s="57"/>
      <c r="N419" s="57"/>
      <c r="O419" s="58"/>
      <c r="V419" s="55"/>
      <c r="W419" s="55"/>
      <c r="X419" s="55"/>
      <c r="Y419" s="55"/>
      <c r="Z419" s="55"/>
      <c r="AA419" s="55"/>
      <c r="AB419" s="55"/>
    </row>
    <row r="420" spans="1:31" s="6" customFormat="1" ht="15.75" thickBo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11"/>
      <c r="L420" s="11"/>
      <c r="M420" s="11"/>
      <c r="N420" s="9"/>
      <c r="O420" s="5"/>
      <c r="V420" s="55"/>
      <c r="W420" s="55"/>
      <c r="X420" s="55"/>
      <c r="Y420" s="55"/>
      <c r="Z420" s="55"/>
      <c r="AA420" s="55"/>
      <c r="AB420" s="55"/>
    </row>
    <row r="421" spans="1:31" s="6" customFormat="1" ht="36" customHeight="1" thickBot="1">
      <c r="A421" s="7" t="s">
        <v>9</v>
      </c>
      <c r="B421" s="7">
        <f>B314</f>
        <v>0</v>
      </c>
      <c r="C421" s="9"/>
      <c r="D421" s="9"/>
      <c r="E421" s="7" t="s">
        <v>10</v>
      </c>
      <c r="F421" s="7">
        <f>F314</f>
        <v>0</v>
      </c>
      <c r="G421" s="9"/>
      <c r="H421" s="7" t="s">
        <v>11</v>
      </c>
      <c r="I421" s="56">
        <f>I314</f>
        <v>0</v>
      </c>
      <c r="J421" s="57"/>
      <c r="K421" s="57">
        <f>K379</f>
        <v>0</v>
      </c>
      <c r="L421" s="57"/>
      <c r="M421" s="57"/>
      <c r="N421" s="57"/>
      <c r="O421" s="58"/>
      <c r="V421" s="55"/>
      <c r="W421" s="55"/>
      <c r="X421" s="55"/>
      <c r="Y421" s="55"/>
      <c r="Z421" s="55"/>
      <c r="AA421" s="55"/>
      <c r="AB421" s="55"/>
    </row>
    <row r="422" spans="1:31" s="6" customFormat="1" ht="15.75" thickBo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11"/>
      <c r="L422" s="11"/>
      <c r="M422" s="11"/>
      <c r="N422" s="9"/>
      <c r="O422" s="5"/>
      <c r="V422" s="55"/>
      <c r="W422" s="55"/>
      <c r="X422" s="55"/>
      <c r="Y422" s="55"/>
      <c r="Z422" s="55"/>
      <c r="AA422" s="55"/>
      <c r="AB422" s="55"/>
    </row>
    <row r="423" spans="1:31" s="6" customFormat="1" ht="24" customHeight="1" thickBot="1">
      <c r="A423" s="7" t="s">
        <v>12</v>
      </c>
      <c r="B423" s="12">
        <v>8.6999999999999994E-2</v>
      </c>
      <c r="C423" s="9"/>
      <c r="D423" s="9"/>
      <c r="E423" s="7" t="s">
        <v>13</v>
      </c>
      <c r="F423" s="12"/>
      <c r="G423" s="9"/>
      <c r="H423" s="87" t="s">
        <v>14</v>
      </c>
      <c r="I423" s="88"/>
      <c r="J423" s="89"/>
      <c r="K423" s="90">
        <f>L344</f>
        <v>0</v>
      </c>
      <c r="L423" s="91"/>
      <c r="M423" s="91"/>
      <c r="N423" s="91"/>
      <c r="O423" s="92"/>
      <c r="Q423" s="75" t="s">
        <v>215</v>
      </c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</row>
    <row r="424" spans="1:31" ht="15.75" thickBo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11"/>
      <c r="L424" s="11"/>
      <c r="M424" s="11"/>
      <c r="N424" s="9"/>
    </row>
    <row r="425" spans="1:31" ht="39.950000000000003" customHeight="1" thickBot="1">
      <c r="A425" s="81" t="s">
        <v>16</v>
      </c>
      <c r="B425" s="93" t="s">
        <v>17</v>
      </c>
      <c r="C425" s="94"/>
      <c r="D425" s="93" t="s">
        <v>18</v>
      </c>
      <c r="E425" s="94"/>
      <c r="F425" s="81" t="s">
        <v>19</v>
      </c>
      <c r="G425" s="81" t="s">
        <v>20</v>
      </c>
      <c r="H425" s="81" t="s">
        <v>21</v>
      </c>
      <c r="I425" s="81" t="s">
        <v>22</v>
      </c>
      <c r="J425" s="81" t="s">
        <v>23</v>
      </c>
      <c r="K425" s="83" t="s">
        <v>24</v>
      </c>
      <c r="L425" s="83" t="s">
        <v>25</v>
      </c>
      <c r="M425" s="83" t="s">
        <v>26</v>
      </c>
      <c r="N425" s="83" t="s">
        <v>27</v>
      </c>
      <c r="O425" s="85" t="s">
        <v>28</v>
      </c>
      <c r="Q425" s="75" t="s">
        <v>29</v>
      </c>
      <c r="R425" s="75" t="s">
        <v>30</v>
      </c>
      <c r="S425" s="75" t="s">
        <v>31</v>
      </c>
      <c r="T425" s="75" t="s">
        <v>32</v>
      </c>
      <c r="U425" s="75" t="s">
        <v>264</v>
      </c>
      <c r="V425" s="80" t="s">
        <v>33</v>
      </c>
      <c r="W425" s="80" t="s">
        <v>34</v>
      </c>
      <c r="X425" s="80" t="s">
        <v>35</v>
      </c>
      <c r="Y425" s="80" t="s">
        <v>36</v>
      </c>
      <c r="Z425" s="80" t="s">
        <v>37</v>
      </c>
      <c r="AA425" s="80" t="s">
        <v>38</v>
      </c>
      <c r="AB425" s="80" t="s">
        <v>39</v>
      </c>
      <c r="AC425" s="75" t="s">
        <v>40</v>
      </c>
      <c r="AD425" s="75" t="s">
        <v>41</v>
      </c>
      <c r="AE425" s="75" t="s">
        <v>42</v>
      </c>
    </row>
    <row r="426" spans="1:31" ht="39.950000000000003" customHeight="1" thickBot="1">
      <c r="A426" s="82"/>
      <c r="B426" s="7" t="s">
        <v>43</v>
      </c>
      <c r="C426" s="7" t="s">
        <v>44</v>
      </c>
      <c r="D426" s="7" t="s">
        <v>43</v>
      </c>
      <c r="E426" s="7" t="s">
        <v>44</v>
      </c>
      <c r="F426" s="82"/>
      <c r="G426" s="82"/>
      <c r="H426" s="82"/>
      <c r="I426" s="82"/>
      <c r="J426" s="82"/>
      <c r="K426" s="84"/>
      <c r="L426" s="84"/>
      <c r="M426" s="84"/>
      <c r="N426" s="84"/>
      <c r="O426" s="86"/>
      <c r="Q426" s="75"/>
      <c r="R426" s="75"/>
      <c r="S426" s="75"/>
      <c r="T426" s="75"/>
      <c r="U426" s="75"/>
      <c r="V426" s="80"/>
      <c r="W426" s="80"/>
      <c r="X426" s="80"/>
      <c r="Y426" s="80"/>
      <c r="Z426" s="80"/>
      <c r="AA426" s="80"/>
      <c r="AB426" s="80"/>
      <c r="AC426" s="75"/>
      <c r="AD426" s="75"/>
      <c r="AE426" s="75"/>
    </row>
    <row r="427" spans="1:31" ht="18" customHeight="1">
      <c r="A427" s="38" t="s">
        <v>183</v>
      </c>
      <c r="B427" s="22">
        <f>Z427</f>
        <v>0</v>
      </c>
      <c r="C427" s="22">
        <v>0</v>
      </c>
      <c r="D427" s="22">
        <f>B427</f>
        <v>0</v>
      </c>
      <c r="E427" s="22">
        <f>C427</f>
        <v>0</v>
      </c>
      <c r="F427" s="22"/>
      <c r="G427" s="22">
        <f t="shared" ref="G427:G438" si="111">(B427+C427+F427)+(D427+E427)</f>
        <v>0</v>
      </c>
      <c r="H427" s="22"/>
      <c r="I427" s="22">
        <f>(K423+B427+C427+F427)-H427</f>
        <v>0</v>
      </c>
      <c r="J427" s="22">
        <f>(D427+E427)</f>
        <v>0</v>
      </c>
      <c r="K427" s="22">
        <f>(K423+G427)-H427</f>
        <v>0</v>
      </c>
      <c r="L427" s="22">
        <f t="shared" ref="L427:M438" si="112">ROUND((I427*8.7/100)/12,0)</f>
        <v>0</v>
      </c>
      <c r="M427" s="22">
        <f t="shared" si="112"/>
        <v>0</v>
      </c>
      <c r="N427" s="22">
        <f>L427+M427</f>
        <v>0</v>
      </c>
      <c r="O427" s="76" t="s">
        <v>184</v>
      </c>
      <c r="Q427" s="18"/>
      <c r="R427" s="18"/>
      <c r="S427" s="18"/>
      <c r="T427" s="18"/>
      <c r="U427" s="18"/>
      <c r="V427" s="19"/>
      <c r="W427" s="19"/>
      <c r="X427" s="19"/>
      <c r="Y427" s="19">
        <f t="shared" ref="Y427:Y436" si="113">V427+W427+X427</f>
        <v>0</v>
      </c>
      <c r="Z427" s="19">
        <f t="shared" ref="Z427:Z436" si="114">ROUND(Y427*10%,0)</f>
        <v>0</v>
      </c>
      <c r="AA427" s="19"/>
      <c r="AB427" s="19">
        <f t="shared" ref="AB427:AB436" si="115">AA427-Z427</f>
        <v>0</v>
      </c>
      <c r="AC427" s="20">
        <v>41365</v>
      </c>
      <c r="AD427" s="20">
        <v>41394</v>
      </c>
      <c r="AE427" s="18"/>
    </row>
    <row r="428" spans="1:31" ht="18" customHeight="1">
      <c r="A428" s="38" t="s">
        <v>185</v>
      </c>
      <c r="B428" s="22">
        <f t="shared" ref="B428:B436" si="116">Z428</f>
        <v>0</v>
      </c>
      <c r="C428" s="22">
        <v>0</v>
      </c>
      <c r="D428" s="22">
        <f t="shared" ref="D428:E438" si="117">B428</f>
        <v>0</v>
      </c>
      <c r="E428" s="22">
        <f t="shared" si="117"/>
        <v>0</v>
      </c>
      <c r="F428" s="22"/>
      <c r="G428" s="22">
        <f t="shared" si="111"/>
        <v>0</v>
      </c>
      <c r="H428" s="22"/>
      <c r="I428" s="22">
        <f>(I427+B428+C428+F428)-H428</f>
        <v>0</v>
      </c>
      <c r="J428" s="22">
        <f>(J427+D428+E428)</f>
        <v>0</v>
      </c>
      <c r="K428" s="22">
        <f>(K427+G428)-H428</f>
        <v>0</v>
      </c>
      <c r="L428" s="22">
        <f t="shared" si="112"/>
        <v>0</v>
      </c>
      <c r="M428" s="22">
        <f t="shared" si="112"/>
        <v>0</v>
      </c>
      <c r="N428" s="22">
        <f t="shared" ref="N428:N438" si="118">L428+M428</f>
        <v>0</v>
      </c>
      <c r="O428" s="76"/>
      <c r="Q428" s="18"/>
      <c r="R428" s="18"/>
      <c r="S428" s="18"/>
      <c r="T428" s="18"/>
      <c r="U428" s="18"/>
      <c r="V428" s="19"/>
      <c r="W428" s="19"/>
      <c r="X428" s="19"/>
      <c r="Y428" s="19">
        <f t="shared" si="113"/>
        <v>0</v>
      </c>
      <c r="Z428" s="19">
        <f t="shared" si="114"/>
        <v>0</v>
      </c>
      <c r="AA428" s="19"/>
      <c r="AB428" s="19">
        <f t="shared" si="115"/>
        <v>0</v>
      </c>
      <c r="AC428" s="20">
        <v>41395</v>
      </c>
      <c r="AD428" s="20">
        <v>41425</v>
      </c>
      <c r="AE428" s="18"/>
    </row>
    <row r="429" spans="1:31" ht="18" customHeight="1">
      <c r="A429" s="38" t="s">
        <v>186</v>
      </c>
      <c r="B429" s="22">
        <f t="shared" si="116"/>
        <v>0</v>
      </c>
      <c r="C429" s="22">
        <v>0</v>
      </c>
      <c r="D429" s="22">
        <f t="shared" si="117"/>
        <v>0</v>
      </c>
      <c r="E429" s="22">
        <f t="shared" si="117"/>
        <v>0</v>
      </c>
      <c r="F429" s="22"/>
      <c r="G429" s="22">
        <f t="shared" si="111"/>
        <v>0</v>
      </c>
      <c r="H429" s="22"/>
      <c r="I429" s="22">
        <f t="shared" ref="I429:I438" si="119">(I428+B429+C429+F429)-H429</f>
        <v>0</v>
      </c>
      <c r="J429" s="22">
        <f t="shared" ref="J429:J438" si="120">(J428+D429+E429)</f>
        <v>0</v>
      </c>
      <c r="K429" s="22">
        <f t="shared" ref="K429:K438" si="121">(K428+G429)-H429</f>
        <v>0</v>
      </c>
      <c r="L429" s="22">
        <f t="shared" si="112"/>
        <v>0</v>
      </c>
      <c r="M429" s="22">
        <f t="shared" si="112"/>
        <v>0</v>
      </c>
      <c r="N429" s="22">
        <f t="shared" si="118"/>
        <v>0</v>
      </c>
      <c r="O429" s="76"/>
      <c r="Q429" s="18"/>
      <c r="R429" s="18"/>
      <c r="S429" s="18"/>
      <c r="T429" s="18"/>
      <c r="U429" s="18"/>
      <c r="V429" s="19"/>
      <c r="W429" s="19"/>
      <c r="X429" s="19"/>
      <c r="Y429" s="19">
        <f t="shared" si="113"/>
        <v>0</v>
      </c>
      <c r="Z429" s="19">
        <f t="shared" si="114"/>
        <v>0</v>
      </c>
      <c r="AA429" s="19"/>
      <c r="AB429" s="19">
        <f t="shared" si="115"/>
        <v>0</v>
      </c>
      <c r="AC429" s="20">
        <v>41426</v>
      </c>
      <c r="AD429" s="20">
        <v>41455</v>
      </c>
      <c r="AE429" s="18"/>
    </row>
    <row r="430" spans="1:31" ht="18" customHeight="1">
      <c r="A430" s="38" t="s">
        <v>187</v>
      </c>
      <c r="B430" s="22">
        <f t="shared" si="116"/>
        <v>0</v>
      </c>
      <c r="C430" s="22">
        <v>0</v>
      </c>
      <c r="D430" s="22">
        <f t="shared" si="117"/>
        <v>0</v>
      </c>
      <c r="E430" s="22">
        <f t="shared" si="117"/>
        <v>0</v>
      </c>
      <c r="F430" s="22"/>
      <c r="G430" s="22">
        <f t="shared" si="111"/>
        <v>0</v>
      </c>
      <c r="H430" s="22"/>
      <c r="I430" s="22">
        <f t="shared" si="119"/>
        <v>0</v>
      </c>
      <c r="J430" s="22">
        <f t="shared" si="120"/>
        <v>0</v>
      </c>
      <c r="K430" s="22">
        <f t="shared" si="121"/>
        <v>0</v>
      </c>
      <c r="L430" s="22">
        <f t="shared" si="112"/>
        <v>0</v>
      </c>
      <c r="M430" s="22">
        <f t="shared" si="112"/>
        <v>0</v>
      </c>
      <c r="N430" s="22">
        <f t="shared" si="118"/>
        <v>0</v>
      </c>
      <c r="O430" s="76"/>
      <c r="Q430" s="18"/>
      <c r="R430" s="18"/>
      <c r="S430" s="18"/>
      <c r="T430" s="18"/>
      <c r="U430" s="18"/>
      <c r="V430" s="19"/>
      <c r="W430" s="19"/>
      <c r="X430" s="19"/>
      <c r="Y430" s="19">
        <f t="shared" si="113"/>
        <v>0</v>
      </c>
      <c r="Z430" s="19">
        <f t="shared" si="114"/>
        <v>0</v>
      </c>
      <c r="AA430" s="19"/>
      <c r="AB430" s="19">
        <f t="shared" si="115"/>
        <v>0</v>
      </c>
      <c r="AC430" s="20">
        <v>41456</v>
      </c>
      <c r="AD430" s="20">
        <v>41486</v>
      </c>
      <c r="AE430" s="18"/>
    </row>
    <row r="431" spans="1:31" ht="18" customHeight="1">
      <c r="A431" s="38" t="s">
        <v>188</v>
      </c>
      <c r="B431" s="22">
        <f t="shared" si="116"/>
        <v>0</v>
      </c>
      <c r="C431" s="22">
        <v>0</v>
      </c>
      <c r="D431" s="22">
        <f t="shared" si="117"/>
        <v>0</v>
      </c>
      <c r="E431" s="22">
        <f t="shared" si="117"/>
        <v>0</v>
      </c>
      <c r="F431" s="22"/>
      <c r="G431" s="22">
        <f t="shared" si="111"/>
        <v>0</v>
      </c>
      <c r="H431" s="22"/>
      <c r="I431" s="22">
        <f t="shared" si="119"/>
        <v>0</v>
      </c>
      <c r="J431" s="22">
        <f t="shared" si="120"/>
        <v>0</v>
      </c>
      <c r="K431" s="22">
        <f t="shared" si="121"/>
        <v>0</v>
      </c>
      <c r="L431" s="22">
        <f t="shared" si="112"/>
        <v>0</v>
      </c>
      <c r="M431" s="22">
        <f t="shared" si="112"/>
        <v>0</v>
      </c>
      <c r="N431" s="22">
        <f t="shared" si="118"/>
        <v>0</v>
      </c>
      <c r="O431" s="76"/>
      <c r="Q431" s="18"/>
      <c r="R431" s="18"/>
      <c r="S431" s="18"/>
      <c r="T431" s="18"/>
      <c r="U431" s="18"/>
      <c r="V431" s="19"/>
      <c r="W431" s="19"/>
      <c r="X431" s="19"/>
      <c r="Y431" s="19">
        <f t="shared" si="113"/>
        <v>0</v>
      </c>
      <c r="Z431" s="19">
        <f t="shared" si="114"/>
        <v>0</v>
      </c>
      <c r="AA431" s="19"/>
      <c r="AB431" s="19">
        <f t="shared" si="115"/>
        <v>0</v>
      </c>
      <c r="AC431" s="20">
        <v>41487</v>
      </c>
      <c r="AD431" s="20">
        <v>41517</v>
      </c>
      <c r="AE431" s="18"/>
    </row>
    <row r="432" spans="1:31" ht="18" customHeight="1">
      <c r="A432" s="38" t="s">
        <v>189</v>
      </c>
      <c r="B432" s="22">
        <f t="shared" si="116"/>
        <v>0</v>
      </c>
      <c r="C432" s="22">
        <v>0</v>
      </c>
      <c r="D432" s="22">
        <f t="shared" si="117"/>
        <v>0</v>
      </c>
      <c r="E432" s="22">
        <f t="shared" si="117"/>
        <v>0</v>
      </c>
      <c r="F432" s="22"/>
      <c r="G432" s="22">
        <f t="shared" si="111"/>
        <v>0</v>
      </c>
      <c r="H432" s="22"/>
      <c r="I432" s="22">
        <f t="shared" si="119"/>
        <v>0</v>
      </c>
      <c r="J432" s="22">
        <f t="shared" si="120"/>
        <v>0</v>
      </c>
      <c r="K432" s="22">
        <f t="shared" si="121"/>
        <v>0</v>
      </c>
      <c r="L432" s="22">
        <f t="shared" si="112"/>
        <v>0</v>
      </c>
      <c r="M432" s="22">
        <f t="shared" si="112"/>
        <v>0</v>
      </c>
      <c r="N432" s="22">
        <f t="shared" si="118"/>
        <v>0</v>
      </c>
      <c r="O432" s="76"/>
      <c r="Q432" s="18"/>
      <c r="R432" s="18"/>
      <c r="S432" s="18"/>
      <c r="T432" s="18"/>
      <c r="U432" s="18"/>
      <c r="V432" s="19"/>
      <c r="W432" s="19"/>
      <c r="X432" s="19"/>
      <c r="Y432" s="19">
        <f t="shared" si="113"/>
        <v>0</v>
      </c>
      <c r="Z432" s="19">
        <f t="shared" si="114"/>
        <v>0</v>
      </c>
      <c r="AA432" s="19"/>
      <c r="AB432" s="19">
        <f t="shared" si="115"/>
        <v>0</v>
      </c>
      <c r="AC432" s="20">
        <v>41518</v>
      </c>
      <c r="AD432" s="20">
        <v>41547</v>
      </c>
      <c r="AE432" s="18"/>
    </row>
    <row r="433" spans="1:31" ht="18" customHeight="1">
      <c r="A433" s="38" t="s">
        <v>190</v>
      </c>
      <c r="B433" s="22">
        <f t="shared" si="116"/>
        <v>0</v>
      </c>
      <c r="C433" s="22">
        <v>0</v>
      </c>
      <c r="D433" s="22">
        <f t="shared" si="117"/>
        <v>0</v>
      </c>
      <c r="E433" s="22">
        <f t="shared" si="117"/>
        <v>0</v>
      </c>
      <c r="F433" s="22"/>
      <c r="G433" s="22">
        <f t="shared" si="111"/>
        <v>0</v>
      </c>
      <c r="H433" s="22"/>
      <c r="I433" s="22">
        <f t="shared" si="119"/>
        <v>0</v>
      </c>
      <c r="J433" s="22">
        <f t="shared" si="120"/>
        <v>0</v>
      </c>
      <c r="K433" s="22">
        <f t="shared" si="121"/>
        <v>0</v>
      </c>
      <c r="L433" s="22">
        <f t="shared" si="112"/>
        <v>0</v>
      </c>
      <c r="M433" s="22">
        <f t="shared" si="112"/>
        <v>0</v>
      </c>
      <c r="N433" s="22">
        <f t="shared" si="118"/>
        <v>0</v>
      </c>
      <c r="O433" s="76"/>
      <c r="Q433" s="18"/>
      <c r="R433" s="18"/>
      <c r="S433" s="18"/>
      <c r="T433" s="18"/>
      <c r="U433" s="18"/>
      <c r="V433" s="19"/>
      <c r="W433" s="19"/>
      <c r="X433" s="19"/>
      <c r="Y433" s="19">
        <f t="shared" si="113"/>
        <v>0</v>
      </c>
      <c r="Z433" s="19">
        <f t="shared" si="114"/>
        <v>0</v>
      </c>
      <c r="AA433" s="19"/>
      <c r="AB433" s="19">
        <f t="shared" si="115"/>
        <v>0</v>
      </c>
      <c r="AC433" s="20">
        <v>41548</v>
      </c>
      <c r="AD433" s="20">
        <v>41578</v>
      </c>
      <c r="AE433" s="18"/>
    </row>
    <row r="434" spans="1:31" ht="18" customHeight="1">
      <c r="A434" s="38" t="s">
        <v>191</v>
      </c>
      <c r="B434" s="22">
        <f t="shared" si="116"/>
        <v>0</v>
      </c>
      <c r="C434" s="22">
        <v>0</v>
      </c>
      <c r="D434" s="22">
        <f t="shared" si="117"/>
        <v>0</v>
      </c>
      <c r="E434" s="22">
        <f t="shared" si="117"/>
        <v>0</v>
      </c>
      <c r="F434" s="22"/>
      <c r="G434" s="22">
        <f t="shared" si="111"/>
        <v>0</v>
      </c>
      <c r="H434" s="22"/>
      <c r="I434" s="22">
        <f t="shared" si="119"/>
        <v>0</v>
      </c>
      <c r="J434" s="22">
        <f t="shared" si="120"/>
        <v>0</v>
      </c>
      <c r="K434" s="22">
        <f t="shared" si="121"/>
        <v>0</v>
      </c>
      <c r="L434" s="22">
        <f t="shared" si="112"/>
        <v>0</v>
      </c>
      <c r="M434" s="22">
        <f t="shared" si="112"/>
        <v>0</v>
      </c>
      <c r="N434" s="22">
        <f t="shared" si="118"/>
        <v>0</v>
      </c>
      <c r="O434" s="76"/>
      <c r="Q434" s="18"/>
      <c r="R434" s="18"/>
      <c r="S434" s="18"/>
      <c r="T434" s="18"/>
      <c r="U434" s="18"/>
      <c r="V434" s="19"/>
      <c r="W434" s="19"/>
      <c r="X434" s="19"/>
      <c r="Y434" s="19">
        <f t="shared" si="113"/>
        <v>0</v>
      </c>
      <c r="Z434" s="19">
        <f t="shared" si="114"/>
        <v>0</v>
      </c>
      <c r="AA434" s="19"/>
      <c r="AB434" s="19">
        <f t="shared" si="115"/>
        <v>0</v>
      </c>
      <c r="AC434" s="20">
        <v>41579</v>
      </c>
      <c r="AD434" s="20">
        <v>41608</v>
      </c>
      <c r="AE434" s="18"/>
    </row>
    <row r="435" spans="1:31" ht="18" customHeight="1">
      <c r="A435" s="38" t="s">
        <v>192</v>
      </c>
      <c r="B435" s="22">
        <f t="shared" si="116"/>
        <v>0</v>
      </c>
      <c r="C435" s="22">
        <v>0</v>
      </c>
      <c r="D435" s="22">
        <f t="shared" si="117"/>
        <v>0</v>
      </c>
      <c r="E435" s="22">
        <f t="shared" si="117"/>
        <v>0</v>
      </c>
      <c r="F435" s="22"/>
      <c r="G435" s="22">
        <f t="shared" si="111"/>
        <v>0</v>
      </c>
      <c r="H435" s="22"/>
      <c r="I435" s="22">
        <f t="shared" si="119"/>
        <v>0</v>
      </c>
      <c r="J435" s="22">
        <f t="shared" si="120"/>
        <v>0</v>
      </c>
      <c r="K435" s="22">
        <f t="shared" si="121"/>
        <v>0</v>
      </c>
      <c r="L435" s="22">
        <f t="shared" si="112"/>
        <v>0</v>
      </c>
      <c r="M435" s="22">
        <f t="shared" si="112"/>
        <v>0</v>
      </c>
      <c r="N435" s="22">
        <f t="shared" si="118"/>
        <v>0</v>
      </c>
      <c r="O435" s="76"/>
      <c r="Q435" s="18"/>
      <c r="R435" s="18"/>
      <c r="S435" s="18"/>
      <c r="T435" s="18"/>
      <c r="U435" s="18"/>
      <c r="V435" s="19"/>
      <c r="W435" s="19"/>
      <c r="X435" s="19"/>
      <c r="Y435" s="19">
        <f t="shared" si="113"/>
        <v>0</v>
      </c>
      <c r="Z435" s="19">
        <f t="shared" si="114"/>
        <v>0</v>
      </c>
      <c r="AA435" s="19"/>
      <c r="AB435" s="19">
        <f t="shared" si="115"/>
        <v>0</v>
      </c>
      <c r="AC435" s="20">
        <v>41609</v>
      </c>
      <c r="AD435" s="20">
        <v>41639</v>
      </c>
      <c r="AE435" s="18"/>
    </row>
    <row r="436" spans="1:31" ht="18" customHeight="1">
      <c r="A436" s="38" t="s">
        <v>193</v>
      </c>
      <c r="B436" s="22">
        <f t="shared" si="116"/>
        <v>0</v>
      </c>
      <c r="C436" s="22">
        <v>0</v>
      </c>
      <c r="D436" s="22">
        <f t="shared" si="117"/>
        <v>0</v>
      </c>
      <c r="E436" s="22">
        <f t="shared" si="117"/>
        <v>0</v>
      </c>
      <c r="F436" s="22"/>
      <c r="G436" s="22">
        <f t="shared" si="111"/>
        <v>0</v>
      </c>
      <c r="H436" s="22"/>
      <c r="I436" s="22">
        <f t="shared" si="119"/>
        <v>0</v>
      </c>
      <c r="J436" s="22">
        <f t="shared" si="120"/>
        <v>0</v>
      </c>
      <c r="K436" s="22">
        <f t="shared" si="121"/>
        <v>0</v>
      </c>
      <c r="L436" s="22">
        <f t="shared" si="112"/>
        <v>0</v>
      </c>
      <c r="M436" s="22">
        <f t="shared" si="112"/>
        <v>0</v>
      </c>
      <c r="N436" s="22">
        <f t="shared" si="118"/>
        <v>0</v>
      </c>
      <c r="O436" s="76"/>
      <c r="Q436" s="18"/>
      <c r="R436" s="18"/>
      <c r="S436" s="18"/>
      <c r="T436" s="18"/>
      <c r="U436" s="18"/>
      <c r="V436" s="19"/>
      <c r="W436" s="19"/>
      <c r="X436" s="19"/>
      <c r="Y436" s="19">
        <f t="shared" si="113"/>
        <v>0</v>
      </c>
      <c r="Z436" s="19">
        <f t="shared" si="114"/>
        <v>0</v>
      </c>
      <c r="AA436" s="19"/>
      <c r="AB436" s="19">
        <f t="shared" si="115"/>
        <v>0</v>
      </c>
      <c r="AC436" s="20">
        <v>41640</v>
      </c>
      <c r="AD436" s="20">
        <v>41670</v>
      </c>
      <c r="AE436" s="18"/>
    </row>
    <row r="437" spans="1:31" ht="18" customHeight="1">
      <c r="A437" s="38" t="s">
        <v>194</v>
      </c>
      <c r="B437" s="22">
        <v>0</v>
      </c>
      <c r="C437" s="22">
        <v>0</v>
      </c>
      <c r="D437" s="22">
        <f t="shared" si="117"/>
        <v>0</v>
      </c>
      <c r="E437" s="22">
        <f t="shared" si="117"/>
        <v>0</v>
      </c>
      <c r="F437" s="22"/>
      <c r="G437" s="22">
        <f t="shared" si="111"/>
        <v>0</v>
      </c>
      <c r="H437" s="22"/>
      <c r="I437" s="22">
        <f t="shared" si="119"/>
        <v>0</v>
      </c>
      <c r="J437" s="22">
        <f t="shared" si="120"/>
        <v>0</v>
      </c>
      <c r="K437" s="22">
        <f t="shared" si="121"/>
        <v>0</v>
      </c>
      <c r="L437" s="22">
        <f t="shared" si="112"/>
        <v>0</v>
      </c>
      <c r="M437" s="22">
        <f t="shared" si="112"/>
        <v>0</v>
      </c>
      <c r="N437" s="22">
        <f t="shared" si="118"/>
        <v>0</v>
      </c>
      <c r="O437" s="76"/>
      <c r="Q437" s="18"/>
      <c r="R437" s="18"/>
      <c r="S437" s="18"/>
      <c r="T437" s="18"/>
      <c r="U437" s="18"/>
      <c r="V437" s="19"/>
      <c r="W437" s="19"/>
      <c r="X437" s="19"/>
      <c r="Y437" s="19">
        <f>V437+W437+X437</f>
        <v>0</v>
      </c>
      <c r="Z437" s="19">
        <f>ROUND(Y437*10%,0)</f>
        <v>0</v>
      </c>
      <c r="AA437" s="19"/>
      <c r="AB437" s="19">
        <f>AA437-Z437</f>
        <v>0</v>
      </c>
      <c r="AC437" s="20">
        <v>41671</v>
      </c>
      <c r="AD437" s="20">
        <v>41698</v>
      </c>
      <c r="AE437" s="18"/>
    </row>
    <row r="438" spans="1:31" ht="18" customHeight="1">
      <c r="A438" s="38" t="s">
        <v>195</v>
      </c>
      <c r="B438" s="22">
        <v>0</v>
      </c>
      <c r="C438" s="22">
        <v>0</v>
      </c>
      <c r="D438" s="22">
        <f t="shared" si="117"/>
        <v>0</v>
      </c>
      <c r="E438" s="22">
        <f t="shared" si="117"/>
        <v>0</v>
      </c>
      <c r="F438" s="22"/>
      <c r="G438" s="22">
        <f t="shared" si="111"/>
        <v>0</v>
      </c>
      <c r="H438" s="22"/>
      <c r="I438" s="22">
        <f t="shared" si="119"/>
        <v>0</v>
      </c>
      <c r="J438" s="22">
        <f t="shared" si="120"/>
        <v>0</v>
      </c>
      <c r="K438" s="22">
        <f t="shared" si="121"/>
        <v>0</v>
      </c>
      <c r="L438" s="22">
        <f t="shared" si="112"/>
        <v>0</v>
      </c>
      <c r="M438" s="22">
        <f t="shared" si="112"/>
        <v>0</v>
      </c>
      <c r="N438" s="22">
        <f t="shared" si="118"/>
        <v>0</v>
      </c>
      <c r="O438" s="76"/>
      <c r="Q438" s="18"/>
      <c r="R438" s="18"/>
      <c r="S438" s="18"/>
      <c r="T438" s="18"/>
      <c r="U438" s="18"/>
      <c r="V438" s="19"/>
      <c r="W438" s="19"/>
      <c r="X438" s="19"/>
      <c r="Y438" s="19">
        <f>V438+W438+X438</f>
        <v>0</v>
      </c>
      <c r="Z438" s="19">
        <f>ROUND(Y438*10%,0)</f>
        <v>0</v>
      </c>
      <c r="AA438" s="19"/>
      <c r="AB438" s="19">
        <f>AA438-Z438</f>
        <v>0</v>
      </c>
      <c r="AC438" s="20">
        <v>41699</v>
      </c>
      <c r="AD438" s="20">
        <v>41729</v>
      </c>
      <c r="AE438" s="18"/>
    </row>
    <row r="439" spans="1:31" ht="18" customHeight="1" thickBot="1">
      <c r="A439" s="34" t="s">
        <v>196</v>
      </c>
      <c r="B439" s="35">
        <f t="shared" ref="B439:N439" si="122">SUM(B427:B438)</f>
        <v>0</v>
      </c>
      <c r="C439" s="35">
        <f t="shared" si="122"/>
        <v>0</v>
      </c>
      <c r="D439" s="35">
        <f t="shared" si="122"/>
        <v>0</v>
      </c>
      <c r="E439" s="35">
        <f t="shared" si="122"/>
        <v>0</v>
      </c>
      <c r="F439" s="35">
        <f t="shared" si="122"/>
        <v>0</v>
      </c>
      <c r="G439" s="35">
        <f t="shared" si="122"/>
        <v>0</v>
      </c>
      <c r="H439" s="35">
        <f t="shared" si="122"/>
        <v>0</v>
      </c>
      <c r="I439" s="35">
        <f t="shared" si="122"/>
        <v>0</v>
      </c>
      <c r="J439" s="35">
        <f t="shared" si="122"/>
        <v>0</v>
      </c>
      <c r="K439" s="35">
        <f t="shared" si="122"/>
        <v>0</v>
      </c>
      <c r="L439" s="35">
        <f t="shared" si="122"/>
        <v>0</v>
      </c>
      <c r="M439" s="35">
        <f t="shared" si="122"/>
        <v>0</v>
      </c>
      <c r="N439" s="35">
        <f t="shared" si="122"/>
        <v>0</v>
      </c>
      <c r="O439" s="37"/>
      <c r="Q439" s="77" t="s">
        <v>36</v>
      </c>
      <c r="R439" s="78"/>
      <c r="S439" s="78"/>
      <c r="T439" s="79"/>
      <c r="U439" s="27"/>
      <c r="V439" s="28">
        <f t="shared" ref="V439:AB439" si="123">SUM(V427:V438)</f>
        <v>0</v>
      </c>
      <c r="W439" s="28">
        <f t="shared" si="123"/>
        <v>0</v>
      </c>
      <c r="X439" s="28">
        <f t="shared" si="123"/>
        <v>0</v>
      </c>
      <c r="Y439" s="28">
        <f t="shared" si="123"/>
        <v>0</v>
      </c>
      <c r="Z439" s="28">
        <f t="shared" si="123"/>
        <v>0</v>
      </c>
      <c r="AA439" s="28">
        <f t="shared" si="123"/>
        <v>0</v>
      </c>
      <c r="AB439" s="28">
        <f t="shared" si="123"/>
        <v>0</v>
      </c>
      <c r="AC439" s="18"/>
      <c r="AD439" s="18"/>
      <c r="AE439" s="18"/>
    </row>
    <row r="440" spans="1:31" ht="15.75" thickBo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11"/>
      <c r="L440" s="11"/>
      <c r="M440" s="11"/>
      <c r="N440" s="9"/>
    </row>
    <row r="441" spans="1:31" ht="15.75" customHeight="1" thickBot="1">
      <c r="A441" s="9"/>
      <c r="B441" s="11"/>
      <c r="C441" s="11"/>
      <c r="D441" s="11"/>
      <c r="E441" s="9"/>
      <c r="F441" s="8">
        <v>1</v>
      </c>
      <c r="G441" s="56" t="s">
        <v>59</v>
      </c>
      <c r="H441" s="57"/>
      <c r="I441" s="57"/>
      <c r="J441" s="57"/>
      <c r="K441" s="58"/>
      <c r="L441" s="25">
        <f>K423</f>
        <v>0</v>
      </c>
      <c r="M441" s="5"/>
      <c r="O441" s="1"/>
      <c r="S441" s="29"/>
      <c r="T441" s="29"/>
      <c r="U441" s="29"/>
      <c r="AA441" s="15"/>
      <c r="AB441" s="15"/>
    </row>
    <row r="442" spans="1:31" ht="15.75" customHeight="1" thickBot="1">
      <c r="A442" s="9"/>
      <c r="B442" s="9"/>
      <c r="C442" s="9"/>
      <c r="D442" s="9"/>
      <c r="E442" s="9"/>
      <c r="F442" s="8">
        <v>2</v>
      </c>
      <c r="G442" s="56" t="s">
        <v>60</v>
      </c>
      <c r="H442" s="57"/>
      <c r="I442" s="57"/>
      <c r="J442" s="57"/>
      <c r="K442" s="58"/>
      <c r="L442" s="25">
        <f>B439+C439</f>
        <v>0</v>
      </c>
      <c r="M442" s="5"/>
      <c r="O442" s="1"/>
      <c r="S442" s="29"/>
      <c r="T442" s="29"/>
      <c r="U442" s="29"/>
      <c r="AA442" s="15"/>
      <c r="AB442" s="15"/>
    </row>
    <row r="443" spans="1:31" ht="15.75" thickBot="1">
      <c r="A443" s="9"/>
      <c r="B443" s="9"/>
      <c r="C443" s="9"/>
      <c r="D443" s="9"/>
      <c r="E443" s="9"/>
      <c r="F443" s="8">
        <v>3</v>
      </c>
      <c r="G443" s="56" t="s">
        <v>113</v>
      </c>
      <c r="H443" s="57"/>
      <c r="I443" s="57"/>
      <c r="J443" s="57"/>
      <c r="K443" s="58"/>
      <c r="L443" s="25">
        <f>F439</f>
        <v>0</v>
      </c>
      <c r="M443" s="5"/>
      <c r="O443" s="1"/>
      <c r="S443" s="29"/>
      <c r="T443" s="29"/>
      <c r="U443" s="29"/>
      <c r="AA443" s="15"/>
      <c r="AB443" s="15"/>
    </row>
    <row r="444" spans="1:31" ht="15.75" customHeight="1" thickBot="1">
      <c r="A444" s="9"/>
      <c r="B444" s="9"/>
      <c r="C444" s="9"/>
      <c r="D444" s="9"/>
      <c r="E444" s="9"/>
      <c r="F444" s="8">
        <v>4</v>
      </c>
      <c r="G444" s="56" t="s">
        <v>62</v>
      </c>
      <c r="H444" s="57"/>
      <c r="I444" s="57"/>
      <c r="J444" s="57"/>
      <c r="K444" s="58"/>
      <c r="L444" s="25">
        <f>L442+L443</f>
        <v>0</v>
      </c>
      <c r="M444" s="5"/>
      <c r="O444" s="1"/>
      <c r="S444" s="29"/>
      <c r="T444" s="29"/>
      <c r="U444" s="29"/>
      <c r="AA444" s="15"/>
      <c r="AB444" s="15"/>
    </row>
    <row r="445" spans="1:31" ht="15.75" customHeight="1" thickBot="1">
      <c r="A445" s="9"/>
      <c r="B445" s="9"/>
      <c r="C445" s="9"/>
      <c r="D445" s="9"/>
      <c r="E445" s="9"/>
      <c r="F445" s="8">
        <v>5</v>
      </c>
      <c r="G445" s="56" t="s">
        <v>18</v>
      </c>
      <c r="H445" s="57"/>
      <c r="I445" s="57"/>
      <c r="J445" s="57"/>
      <c r="K445" s="58"/>
      <c r="L445" s="25">
        <f>D439+E439</f>
        <v>0</v>
      </c>
      <c r="M445" s="5"/>
      <c r="O445" s="1"/>
      <c r="S445" s="29"/>
      <c r="T445" s="29"/>
      <c r="U445" s="29"/>
      <c r="AA445" s="15"/>
      <c r="AB445" s="15"/>
    </row>
    <row r="446" spans="1:31" ht="15.75" customHeight="1" thickBot="1">
      <c r="A446" s="9"/>
      <c r="B446" s="9"/>
      <c r="C446" s="9"/>
      <c r="D446" s="9"/>
      <c r="E446" s="9"/>
      <c r="F446" s="8">
        <v>6</v>
      </c>
      <c r="G446" s="56" t="s">
        <v>63</v>
      </c>
      <c r="H446" s="57"/>
      <c r="I446" s="57"/>
      <c r="J446" s="57"/>
      <c r="K446" s="58"/>
      <c r="L446" s="25">
        <f>L441+L444+L445</f>
        <v>0</v>
      </c>
      <c r="M446" s="5"/>
      <c r="O446" s="1"/>
      <c r="S446" s="29"/>
      <c r="T446" s="29"/>
      <c r="U446" s="29"/>
      <c r="AA446" s="15"/>
      <c r="AB446" s="15"/>
    </row>
    <row r="447" spans="1:31" ht="15.75" customHeight="1" thickBot="1">
      <c r="A447" s="9"/>
      <c r="B447" s="9"/>
      <c r="C447" s="9"/>
      <c r="D447" s="9"/>
      <c r="E447" s="9"/>
      <c r="F447" s="8">
        <v>7</v>
      </c>
      <c r="G447" s="56" t="s">
        <v>64</v>
      </c>
      <c r="H447" s="57"/>
      <c r="I447" s="57"/>
      <c r="J447" s="57"/>
      <c r="K447" s="58"/>
      <c r="L447" s="25">
        <f>H439</f>
        <v>0</v>
      </c>
      <c r="M447" s="5"/>
      <c r="O447" s="1"/>
      <c r="S447" s="29"/>
      <c r="T447" s="29"/>
      <c r="U447" s="29"/>
      <c r="AA447" s="15"/>
      <c r="AB447" s="15"/>
    </row>
    <row r="448" spans="1:31" ht="15.75" thickBot="1">
      <c r="A448" s="9"/>
      <c r="B448" s="9"/>
      <c r="C448" s="9"/>
      <c r="D448" s="9"/>
      <c r="E448" s="9"/>
      <c r="F448" s="8">
        <v>8</v>
      </c>
      <c r="G448" s="56" t="s">
        <v>25</v>
      </c>
      <c r="H448" s="57"/>
      <c r="I448" s="57"/>
      <c r="J448" s="57"/>
      <c r="K448" s="58"/>
      <c r="L448" s="25">
        <f>L439</f>
        <v>0</v>
      </c>
      <c r="M448" s="30"/>
      <c r="N448" s="11"/>
    </row>
    <row r="449" spans="1:16" ht="15.75" thickBot="1">
      <c r="A449" s="9"/>
      <c r="B449" s="9"/>
      <c r="C449" s="9"/>
      <c r="D449" s="9"/>
      <c r="E449" s="9"/>
      <c r="F449" s="8">
        <v>9</v>
      </c>
      <c r="G449" s="56" t="s">
        <v>26</v>
      </c>
      <c r="H449" s="57"/>
      <c r="I449" s="57"/>
      <c r="J449" s="57"/>
      <c r="K449" s="58"/>
      <c r="L449" s="25">
        <f>M439</f>
        <v>0</v>
      </c>
      <c r="M449" s="30"/>
      <c r="N449" s="11"/>
    </row>
    <row r="450" spans="1:16" ht="15.75" thickBot="1">
      <c r="A450" s="9"/>
      <c r="B450" s="9"/>
      <c r="C450" s="9"/>
      <c r="D450" s="9"/>
      <c r="E450" s="9"/>
      <c r="F450" s="8">
        <v>10</v>
      </c>
      <c r="G450" s="56" t="s">
        <v>65</v>
      </c>
      <c r="H450" s="57"/>
      <c r="I450" s="57"/>
      <c r="J450" s="57"/>
      <c r="K450" s="58"/>
      <c r="L450" s="25">
        <f>N439</f>
        <v>0</v>
      </c>
      <c r="M450" s="30"/>
      <c r="N450" s="11"/>
    </row>
    <row r="451" spans="1:16" ht="15.75" thickBot="1">
      <c r="A451" s="9"/>
      <c r="B451" s="9"/>
      <c r="C451" s="9"/>
      <c r="D451" s="9"/>
      <c r="E451" s="9"/>
      <c r="F451" s="8">
        <v>11</v>
      </c>
      <c r="G451" s="57" t="s">
        <v>216</v>
      </c>
      <c r="H451" s="57"/>
      <c r="I451" s="57"/>
      <c r="J451" s="57"/>
      <c r="K451" s="58"/>
      <c r="L451" s="25">
        <f>L446-L447+L450</f>
        <v>0</v>
      </c>
      <c r="M451" s="30"/>
      <c r="N451" s="11"/>
      <c r="P451" s="15"/>
    </row>
    <row r="452" spans="1:16">
      <c r="A452" s="9"/>
      <c r="B452" s="9"/>
      <c r="C452" s="9"/>
      <c r="D452" s="9"/>
      <c r="E452" s="9"/>
      <c r="F452" s="9"/>
      <c r="G452" s="30"/>
      <c r="H452" s="30"/>
      <c r="I452" s="30"/>
      <c r="J452" s="30"/>
      <c r="K452" s="30"/>
      <c r="L452" s="30"/>
      <c r="M452" s="30"/>
      <c r="N452" s="11"/>
    </row>
    <row r="453" spans="1:16">
      <c r="A453" s="9"/>
      <c r="B453" s="9"/>
      <c r="C453" s="9"/>
      <c r="D453" s="9"/>
      <c r="E453" s="9"/>
      <c r="F453" s="9"/>
      <c r="G453" s="30"/>
      <c r="H453" s="30"/>
      <c r="I453" s="30"/>
      <c r="J453" s="30"/>
      <c r="K453" s="30"/>
      <c r="L453" s="30"/>
      <c r="M453" s="30"/>
      <c r="N453" s="11"/>
    </row>
    <row r="454" spans="1:16">
      <c r="A454" s="9"/>
      <c r="B454" s="9"/>
      <c r="C454" s="9"/>
      <c r="D454" s="9"/>
      <c r="E454" s="9"/>
      <c r="F454" s="9"/>
      <c r="G454" s="30"/>
      <c r="H454" s="30"/>
      <c r="I454" s="30"/>
      <c r="J454" s="30"/>
      <c r="K454" s="30"/>
      <c r="L454" s="30"/>
      <c r="M454" s="30"/>
      <c r="N454" s="11"/>
    </row>
    <row r="455" spans="1:16">
      <c r="A455" s="9"/>
      <c r="B455" s="9"/>
      <c r="C455" s="9"/>
      <c r="D455" s="9"/>
      <c r="E455" s="9"/>
      <c r="F455" s="9"/>
      <c r="G455" s="30"/>
      <c r="H455" s="30"/>
      <c r="I455" s="30"/>
      <c r="J455" s="30"/>
      <c r="K455" s="30"/>
      <c r="L455" s="30"/>
      <c r="M455" s="30"/>
      <c r="N455" s="11"/>
    </row>
    <row r="456" spans="1:16" ht="18">
      <c r="A456" s="73" t="s">
        <v>2</v>
      </c>
      <c r="B456" s="73"/>
      <c r="C456" s="3"/>
      <c r="D456" s="3"/>
      <c r="E456" s="73" t="s">
        <v>3</v>
      </c>
      <c r="F456" s="73"/>
      <c r="G456" s="73"/>
      <c r="H456" s="74" t="s">
        <v>4</v>
      </c>
      <c r="I456" s="74"/>
      <c r="J456" s="74"/>
      <c r="K456" s="74"/>
      <c r="L456" s="74"/>
      <c r="M456" s="74"/>
      <c r="N456" s="74"/>
    </row>
    <row r="457" spans="1:16" ht="18" hidden="1">
      <c r="A457" s="3"/>
      <c r="B457" s="3"/>
      <c r="C457" s="3"/>
      <c r="D457" s="3"/>
      <c r="E457" s="3"/>
      <c r="F457" s="3"/>
      <c r="G457" s="4"/>
      <c r="H457" s="4"/>
      <c r="I457" s="4"/>
      <c r="J457" s="4"/>
    </row>
    <row r="458" spans="1:16" ht="18.75" hidden="1">
      <c r="A458" s="67" t="s">
        <v>0</v>
      </c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</row>
    <row r="459" spans="1:16" ht="18.75" hidden="1">
      <c r="A459" s="67" t="s">
        <v>1</v>
      </c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</row>
    <row r="460" spans="1:16"/>
    <row r="461" spans="1:16" hidden="1">
      <c r="A461" s="68" t="s">
        <v>217</v>
      </c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</row>
    <row r="462" spans="1:16" ht="22.5" hidden="1">
      <c r="A462" s="39" t="s">
        <v>7</v>
      </c>
      <c r="B462" s="40">
        <f>B424</f>
        <v>0</v>
      </c>
      <c r="C462" s="40"/>
      <c r="D462" s="40"/>
      <c r="E462" s="39" t="s">
        <v>8</v>
      </c>
      <c r="F462" s="69">
        <f>F424</f>
        <v>0</v>
      </c>
      <c r="G462" s="69"/>
      <c r="H462" s="69"/>
      <c r="I462" s="69"/>
      <c r="J462" s="69"/>
      <c r="K462" s="69"/>
      <c r="L462" s="69"/>
      <c r="M462" s="69"/>
      <c r="N462" s="69"/>
    </row>
    <row r="463" spans="1:16" hidden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11"/>
      <c r="L463" s="11"/>
      <c r="M463" s="11"/>
      <c r="N463" s="9"/>
    </row>
    <row r="464" spans="1:16" ht="22.5" hidden="1">
      <c r="A464" s="39" t="s">
        <v>9</v>
      </c>
      <c r="B464" s="40" t="str">
        <f>B426</f>
        <v>नियमित वेतन</v>
      </c>
      <c r="C464" s="40"/>
      <c r="D464" s="40"/>
      <c r="E464" s="39" t="s">
        <v>10</v>
      </c>
      <c r="F464" s="70"/>
      <c r="G464" s="71"/>
      <c r="H464" s="39" t="s">
        <v>11</v>
      </c>
      <c r="I464" s="39"/>
      <c r="J464" s="39"/>
      <c r="K464" s="72">
        <f>K426</f>
        <v>0</v>
      </c>
      <c r="L464" s="72"/>
      <c r="M464" s="72"/>
      <c r="N464" s="72"/>
    </row>
    <row r="465" spans="1:15" hidden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11"/>
      <c r="L465" s="11"/>
      <c r="M465" s="11"/>
      <c r="N465" s="9"/>
    </row>
    <row r="466" spans="1:15" hidden="1">
      <c r="A466" s="39" t="s">
        <v>12</v>
      </c>
      <c r="B466" s="41">
        <v>7.9000000000000001E-2</v>
      </c>
      <c r="C466" s="41"/>
      <c r="D466" s="41"/>
      <c r="E466" s="39" t="s">
        <v>13</v>
      </c>
      <c r="F466" s="41" t="s">
        <v>218</v>
      </c>
      <c r="G466" s="59" t="s">
        <v>14</v>
      </c>
      <c r="H466" s="60"/>
      <c r="I466" s="42"/>
      <c r="J466" s="42"/>
      <c r="K466" s="61">
        <f>N451</f>
        <v>0</v>
      </c>
      <c r="L466" s="62"/>
      <c r="M466" s="62"/>
      <c r="N466" s="63"/>
    </row>
    <row r="467" spans="1:15" hidden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11"/>
      <c r="L467" s="11"/>
      <c r="M467" s="11"/>
      <c r="N467" s="9"/>
    </row>
    <row r="468" spans="1:15" ht="45" hidden="1">
      <c r="A468" s="48" t="s">
        <v>16</v>
      </c>
      <c r="B468" s="48" t="s">
        <v>17</v>
      </c>
      <c r="C468" s="48"/>
      <c r="D468" s="48"/>
      <c r="E468" s="48" t="s">
        <v>18</v>
      </c>
      <c r="F468" s="48" t="s">
        <v>180</v>
      </c>
      <c r="G468" s="48" t="s">
        <v>20</v>
      </c>
      <c r="H468" s="48" t="s">
        <v>21</v>
      </c>
      <c r="I468" s="48"/>
      <c r="J468" s="48"/>
      <c r="K468" s="49" t="s">
        <v>181</v>
      </c>
      <c r="L468" s="49"/>
      <c r="M468" s="49"/>
      <c r="N468" s="49" t="s">
        <v>182</v>
      </c>
      <c r="O468" s="50" t="s">
        <v>28</v>
      </c>
    </row>
    <row r="469" spans="1:15" hidden="1">
      <c r="A469" s="39" t="s">
        <v>219</v>
      </c>
      <c r="B469" s="51">
        <v>300</v>
      </c>
      <c r="C469" s="51"/>
      <c r="D469" s="51"/>
      <c r="E469" s="51">
        <f>B469</f>
        <v>300</v>
      </c>
      <c r="F469" s="51">
        <v>0</v>
      </c>
      <c r="G469" s="51">
        <f t="shared" ref="G469:G480" si="124">(E469+B469)+F469</f>
        <v>600</v>
      </c>
      <c r="H469" s="51">
        <v>0</v>
      </c>
      <c r="I469" s="51"/>
      <c r="J469" s="51"/>
      <c r="K469" s="51">
        <f>(K466+G469)-H469</f>
        <v>600</v>
      </c>
      <c r="L469" s="52"/>
      <c r="M469" s="52"/>
      <c r="N469" s="52">
        <f>ROUND((K469*7.9/100)/12,0)</f>
        <v>4</v>
      </c>
      <c r="O469" s="96" t="s">
        <v>220</v>
      </c>
    </row>
    <row r="470" spans="1:15" hidden="1">
      <c r="A470" s="39" t="s">
        <v>221</v>
      </c>
      <c r="B470" s="51">
        <v>300</v>
      </c>
      <c r="C470" s="51"/>
      <c r="D470" s="51"/>
      <c r="E470" s="51">
        <f t="shared" ref="E470:E480" si="125">B470</f>
        <v>300</v>
      </c>
      <c r="F470" s="51">
        <v>0</v>
      </c>
      <c r="G470" s="51">
        <f t="shared" si="124"/>
        <v>600</v>
      </c>
      <c r="H470" s="51">
        <v>0</v>
      </c>
      <c r="I470" s="17"/>
      <c r="J470" s="17"/>
      <c r="K470" s="22">
        <f t="shared" ref="K470:K480" si="126">(K469+G470)-H470</f>
        <v>1200</v>
      </c>
      <c r="L470" s="53"/>
      <c r="M470" s="53"/>
      <c r="N470" s="52">
        <f>ROUND((K470*7.9/100)/12,0)</f>
        <v>8</v>
      </c>
      <c r="O470" s="96"/>
    </row>
    <row r="471" spans="1:15" hidden="1">
      <c r="A471" s="39" t="s">
        <v>222</v>
      </c>
      <c r="B471" s="51">
        <v>0</v>
      </c>
      <c r="C471" s="51"/>
      <c r="D471" s="51"/>
      <c r="E471" s="51">
        <f t="shared" si="125"/>
        <v>0</v>
      </c>
      <c r="F471" s="51">
        <v>0</v>
      </c>
      <c r="G471" s="51">
        <f t="shared" si="124"/>
        <v>0</v>
      </c>
      <c r="H471" s="51">
        <v>0</v>
      </c>
      <c r="I471" s="17"/>
      <c r="J471" s="17"/>
      <c r="K471" s="22">
        <f t="shared" si="126"/>
        <v>1200</v>
      </c>
      <c r="L471" s="53"/>
      <c r="M471" s="53"/>
      <c r="N471" s="52">
        <f>ROUND((K471*7.9/100)/12,0)</f>
        <v>8</v>
      </c>
      <c r="O471" s="96"/>
    </row>
    <row r="472" spans="1:15" hidden="1">
      <c r="A472" s="39" t="s">
        <v>223</v>
      </c>
      <c r="B472" s="51">
        <v>300</v>
      </c>
      <c r="C472" s="51"/>
      <c r="D472" s="51"/>
      <c r="E472" s="51">
        <f t="shared" si="125"/>
        <v>300</v>
      </c>
      <c r="F472" s="51">
        <v>0</v>
      </c>
      <c r="G472" s="51">
        <f t="shared" si="124"/>
        <v>600</v>
      </c>
      <c r="H472" s="51">
        <v>0</v>
      </c>
      <c r="I472" s="17"/>
      <c r="J472" s="17"/>
      <c r="K472" s="22">
        <f t="shared" si="126"/>
        <v>1800</v>
      </c>
      <c r="L472" s="53"/>
      <c r="M472" s="53"/>
      <c r="N472" s="52">
        <f t="shared" ref="N472:N477" si="127">ROUND((K472*7.8/100)/12,0)</f>
        <v>12</v>
      </c>
      <c r="O472" s="64" t="s">
        <v>224</v>
      </c>
    </row>
    <row r="473" spans="1:15" hidden="1">
      <c r="A473" s="39" t="s">
        <v>225</v>
      </c>
      <c r="B473" s="51">
        <v>300</v>
      </c>
      <c r="C473" s="51"/>
      <c r="D473" s="51"/>
      <c r="E473" s="51">
        <f t="shared" si="125"/>
        <v>300</v>
      </c>
      <c r="F473" s="51">
        <v>0</v>
      </c>
      <c r="G473" s="51">
        <f t="shared" si="124"/>
        <v>600</v>
      </c>
      <c r="H473" s="51">
        <v>0</v>
      </c>
      <c r="I473" s="17"/>
      <c r="J473" s="17"/>
      <c r="K473" s="22">
        <f t="shared" si="126"/>
        <v>2400</v>
      </c>
      <c r="L473" s="53"/>
      <c r="M473" s="53"/>
      <c r="N473" s="52">
        <f t="shared" si="127"/>
        <v>16</v>
      </c>
      <c r="O473" s="65"/>
    </row>
    <row r="474" spans="1:15" hidden="1">
      <c r="A474" s="39" t="s">
        <v>226</v>
      </c>
      <c r="B474" s="51">
        <v>600</v>
      </c>
      <c r="C474" s="51"/>
      <c r="D474" s="51"/>
      <c r="E474" s="51">
        <f t="shared" si="125"/>
        <v>600</v>
      </c>
      <c r="F474" s="51">
        <v>0</v>
      </c>
      <c r="G474" s="51">
        <f t="shared" si="124"/>
        <v>1200</v>
      </c>
      <c r="H474" s="51">
        <v>0</v>
      </c>
      <c r="I474" s="17"/>
      <c r="J474" s="17"/>
      <c r="K474" s="22">
        <f t="shared" si="126"/>
        <v>3600</v>
      </c>
      <c r="L474" s="53"/>
      <c r="M474" s="53"/>
      <c r="N474" s="52">
        <f t="shared" si="127"/>
        <v>23</v>
      </c>
      <c r="O474" s="65"/>
    </row>
    <row r="475" spans="1:15" hidden="1">
      <c r="A475" s="39" t="s">
        <v>227</v>
      </c>
      <c r="B475" s="51">
        <v>0</v>
      </c>
      <c r="C475" s="51"/>
      <c r="D475" s="51"/>
      <c r="E475" s="51">
        <f t="shared" si="125"/>
        <v>0</v>
      </c>
      <c r="F475" s="51">
        <v>0</v>
      </c>
      <c r="G475" s="51">
        <f t="shared" si="124"/>
        <v>0</v>
      </c>
      <c r="H475" s="51">
        <v>0</v>
      </c>
      <c r="I475" s="17"/>
      <c r="J475" s="17"/>
      <c r="K475" s="22">
        <f t="shared" si="126"/>
        <v>3600</v>
      </c>
      <c r="L475" s="53"/>
      <c r="M475" s="53"/>
      <c r="N475" s="52">
        <f t="shared" si="127"/>
        <v>23</v>
      </c>
      <c r="O475" s="65"/>
    </row>
    <row r="476" spans="1:15" hidden="1">
      <c r="A476" s="39" t="s">
        <v>228</v>
      </c>
      <c r="B476" s="51">
        <v>300</v>
      </c>
      <c r="C476" s="51"/>
      <c r="D476" s="51"/>
      <c r="E476" s="51">
        <f t="shared" si="125"/>
        <v>300</v>
      </c>
      <c r="F476" s="51">
        <v>0</v>
      </c>
      <c r="G476" s="51">
        <f t="shared" si="124"/>
        <v>600</v>
      </c>
      <c r="H476" s="51">
        <v>0</v>
      </c>
      <c r="I476" s="17"/>
      <c r="J476" s="17"/>
      <c r="K476" s="22">
        <f t="shared" si="126"/>
        <v>4200</v>
      </c>
      <c r="L476" s="53"/>
      <c r="M476" s="53"/>
      <c r="N476" s="52">
        <f t="shared" si="127"/>
        <v>27</v>
      </c>
      <c r="O476" s="65"/>
    </row>
    <row r="477" spans="1:15" hidden="1">
      <c r="A477" s="39" t="s">
        <v>229</v>
      </c>
      <c r="B477" s="51">
        <v>300</v>
      </c>
      <c r="C477" s="51"/>
      <c r="D477" s="51"/>
      <c r="E477" s="51">
        <f t="shared" si="125"/>
        <v>300</v>
      </c>
      <c r="F477" s="51">
        <v>0</v>
      </c>
      <c r="G477" s="51">
        <f t="shared" si="124"/>
        <v>600</v>
      </c>
      <c r="H477" s="51">
        <v>0</v>
      </c>
      <c r="I477" s="17"/>
      <c r="J477" s="17"/>
      <c r="K477" s="22">
        <f t="shared" si="126"/>
        <v>4800</v>
      </c>
      <c r="L477" s="53"/>
      <c r="M477" s="53"/>
      <c r="N477" s="52">
        <f t="shared" si="127"/>
        <v>31</v>
      </c>
      <c r="O477" s="66"/>
    </row>
    <row r="478" spans="1:15" hidden="1">
      <c r="A478" s="39" t="s">
        <v>230</v>
      </c>
      <c r="B478" s="51">
        <v>300</v>
      </c>
      <c r="C478" s="51"/>
      <c r="D478" s="51"/>
      <c r="E478" s="51">
        <f t="shared" si="125"/>
        <v>300</v>
      </c>
      <c r="F478" s="51">
        <v>0</v>
      </c>
      <c r="G478" s="51">
        <f t="shared" si="124"/>
        <v>600</v>
      </c>
      <c r="H478" s="51">
        <v>0</v>
      </c>
      <c r="I478" s="17"/>
      <c r="J478" s="17"/>
      <c r="K478" s="22">
        <f t="shared" si="126"/>
        <v>5400</v>
      </c>
      <c r="L478" s="53"/>
      <c r="M478" s="53"/>
      <c r="N478" s="52">
        <f>ROUND((K478*7.6/100)/12,0)</f>
        <v>34</v>
      </c>
      <c r="O478" s="96" t="s">
        <v>231</v>
      </c>
    </row>
    <row r="479" spans="1:15" hidden="1">
      <c r="A479" s="39" t="s">
        <v>232</v>
      </c>
      <c r="B479" s="51">
        <v>0</v>
      </c>
      <c r="C479" s="51"/>
      <c r="D479" s="51"/>
      <c r="E479" s="51">
        <f t="shared" si="125"/>
        <v>0</v>
      </c>
      <c r="F479" s="51">
        <v>0</v>
      </c>
      <c r="G479" s="51">
        <f t="shared" si="124"/>
        <v>0</v>
      </c>
      <c r="H479" s="51">
        <v>0</v>
      </c>
      <c r="I479" s="17"/>
      <c r="J479" s="17"/>
      <c r="K479" s="22">
        <f t="shared" si="126"/>
        <v>5400</v>
      </c>
      <c r="L479" s="53"/>
      <c r="M479" s="53"/>
      <c r="N479" s="52">
        <f>ROUND((K479*7.6/100)/12,0)</f>
        <v>34</v>
      </c>
      <c r="O479" s="96"/>
    </row>
    <row r="480" spans="1:15" hidden="1">
      <c r="A480" s="39" t="s">
        <v>233</v>
      </c>
      <c r="B480" s="51">
        <v>0</v>
      </c>
      <c r="C480" s="51"/>
      <c r="D480" s="51"/>
      <c r="E480" s="51">
        <f t="shared" si="125"/>
        <v>0</v>
      </c>
      <c r="F480" s="51">
        <v>0</v>
      </c>
      <c r="G480" s="51">
        <f t="shared" si="124"/>
        <v>0</v>
      </c>
      <c r="H480" s="51">
        <v>0</v>
      </c>
      <c r="I480" s="17"/>
      <c r="J480" s="17"/>
      <c r="K480" s="22">
        <f t="shared" si="126"/>
        <v>5400</v>
      </c>
      <c r="L480" s="53"/>
      <c r="M480" s="53"/>
      <c r="N480" s="52">
        <f>ROUND((K480*7.6/100)/12,0)</f>
        <v>34</v>
      </c>
      <c r="O480" s="96"/>
    </row>
    <row r="481" spans="1:28" hidden="1">
      <c r="A481" s="39" t="s">
        <v>234</v>
      </c>
      <c r="B481" s="54">
        <f t="shared" ref="B481:N481" si="128">SUM(B469:B480)</f>
        <v>2700</v>
      </c>
      <c r="C481" s="54"/>
      <c r="D481" s="54"/>
      <c r="E481" s="54">
        <f t="shared" si="128"/>
        <v>2700</v>
      </c>
      <c r="F481" s="54">
        <f t="shared" si="128"/>
        <v>0</v>
      </c>
      <c r="G481" s="54">
        <f t="shared" si="128"/>
        <v>5400</v>
      </c>
      <c r="H481" s="54">
        <f t="shared" si="128"/>
        <v>0</v>
      </c>
      <c r="I481" s="54"/>
      <c r="J481" s="54"/>
      <c r="K481" s="54">
        <f>SUM(K469:K480)</f>
        <v>39600</v>
      </c>
      <c r="L481" s="54"/>
      <c r="M481" s="54"/>
      <c r="N481" s="54">
        <f t="shared" si="128"/>
        <v>254</v>
      </c>
    </row>
    <row r="482" spans="1:28" hidden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11"/>
      <c r="L482" s="11"/>
      <c r="M482" s="11"/>
      <c r="N482" s="9"/>
    </row>
    <row r="483" spans="1:28" ht="15.75" hidden="1" thickBot="1">
      <c r="A483" s="9"/>
      <c r="B483" s="11"/>
      <c r="C483" s="11"/>
      <c r="D483" s="11"/>
      <c r="E483" s="9"/>
      <c r="F483" s="9"/>
      <c r="G483" s="56" t="s">
        <v>59</v>
      </c>
      <c r="H483" s="57"/>
      <c r="I483" s="57"/>
      <c r="J483" s="57"/>
      <c r="K483" s="58"/>
      <c r="L483" s="10"/>
      <c r="M483" s="10"/>
      <c r="N483" s="47">
        <f>K466</f>
        <v>0</v>
      </c>
    </row>
    <row r="484" spans="1:28" ht="15.75" hidden="1" thickBot="1">
      <c r="A484" s="9"/>
      <c r="B484" s="9"/>
      <c r="C484" s="9"/>
      <c r="D484" s="9"/>
      <c r="E484" s="9"/>
      <c r="F484" s="9"/>
      <c r="G484" s="56" t="s">
        <v>197</v>
      </c>
      <c r="H484" s="57"/>
      <c r="I484" s="57"/>
      <c r="J484" s="57"/>
      <c r="K484" s="58"/>
      <c r="L484" s="10"/>
      <c r="M484" s="10"/>
      <c r="N484" s="47">
        <f>B481+F481</f>
        <v>2700</v>
      </c>
    </row>
    <row r="485" spans="1:28" ht="15.75" hidden="1" thickBot="1">
      <c r="A485" s="9"/>
      <c r="B485" s="9"/>
      <c r="C485" s="9"/>
      <c r="D485" s="9"/>
      <c r="E485" s="9"/>
      <c r="F485" s="9"/>
      <c r="G485" s="56" t="s">
        <v>18</v>
      </c>
      <c r="H485" s="57"/>
      <c r="I485" s="57"/>
      <c r="J485" s="57"/>
      <c r="K485" s="58"/>
      <c r="L485" s="10"/>
      <c r="M485" s="10"/>
      <c r="N485" s="47">
        <f>E481</f>
        <v>2700</v>
      </c>
    </row>
    <row r="486" spans="1:28" ht="15.75" hidden="1" thickBot="1">
      <c r="A486" s="9"/>
      <c r="B486" s="9"/>
      <c r="C486" s="9"/>
      <c r="D486" s="9"/>
      <c r="E486" s="9"/>
      <c r="F486" s="9"/>
      <c r="G486" s="56" t="s">
        <v>198</v>
      </c>
      <c r="H486" s="57"/>
      <c r="I486" s="57"/>
      <c r="J486" s="57"/>
      <c r="K486" s="58"/>
      <c r="L486" s="10"/>
      <c r="M486" s="10"/>
      <c r="N486" s="47">
        <f>SUM(N483:N485)</f>
        <v>5400</v>
      </c>
    </row>
    <row r="487" spans="1:28" ht="15.75" hidden="1" thickBot="1">
      <c r="A487" s="9"/>
      <c r="B487" s="9"/>
      <c r="C487" s="9"/>
      <c r="D487" s="9"/>
      <c r="E487" s="9"/>
      <c r="F487" s="9"/>
      <c r="G487" s="56" t="s">
        <v>64</v>
      </c>
      <c r="H487" s="57"/>
      <c r="I487" s="57"/>
      <c r="J487" s="57"/>
      <c r="K487" s="58"/>
      <c r="L487" s="10"/>
      <c r="M487" s="10"/>
      <c r="N487" s="47">
        <f>H481</f>
        <v>0</v>
      </c>
    </row>
    <row r="488" spans="1:28" ht="15.75" hidden="1" thickBot="1">
      <c r="A488" s="9"/>
      <c r="B488" s="9"/>
      <c r="C488" s="9"/>
      <c r="D488" s="9"/>
      <c r="E488" s="9"/>
      <c r="F488" s="9"/>
      <c r="G488" s="56" t="s">
        <v>199</v>
      </c>
      <c r="H488" s="57"/>
      <c r="I488" s="57"/>
      <c r="J488" s="57"/>
      <c r="K488" s="58"/>
      <c r="L488" s="10"/>
      <c r="M488" s="10"/>
      <c r="N488" s="47">
        <f>N481</f>
        <v>254</v>
      </c>
    </row>
    <row r="489" spans="1:28" ht="15.75" hidden="1" thickBot="1">
      <c r="A489" s="9"/>
      <c r="B489" s="9"/>
      <c r="C489" s="9"/>
      <c r="D489" s="9"/>
      <c r="E489" s="9"/>
      <c r="F489" s="9"/>
      <c r="G489" s="56" t="s">
        <v>200</v>
      </c>
      <c r="H489" s="57"/>
      <c r="I489" s="57"/>
      <c r="J489" s="57"/>
      <c r="K489" s="58"/>
      <c r="L489" s="10"/>
      <c r="M489" s="10"/>
      <c r="N489" s="47">
        <f>(N486-N487)+N488</f>
        <v>5654</v>
      </c>
    </row>
    <row r="490" spans="1:28" hidden="1">
      <c r="A490" s="9"/>
      <c r="B490" s="9"/>
      <c r="C490" s="9"/>
      <c r="D490" s="9"/>
      <c r="E490" s="9"/>
      <c r="F490" s="9"/>
      <c r="G490" s="30"/>
      <c r="H490" s="30"/>
      <c r="I490" s="30"/>
      <c r="J490" s="30"/>
      <c r="K490" s="30"/>
      <c r="L490" s="30"/>
      <c r="M490" s="30"/>
      <c r="N490" s="11"/>
    </row>
    <row r="491" spans="1:28"/>
    <row r="492" spans="1:28" ht="18.75">
      <c r="A492" s="67" t="s">
        <v>0</v>
      </c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</row>
    <row r="493" spans="1:28" ht="18.75">
      <c r="A493" s="67" t="s">
        <v>1</v>
      </c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</row>
    <row r="494" spans="1:28"/>
    <row r="495" spans="1:28" ht="15.75" thickBot="1">
      <c r="A495" s="95" t="s">
        <v>235</v>
      </c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</row>
    <row r="496" spans="1:28" s="6" customFormat="1" ht="36" customHeight="1" thickBot="1">
      <c r="A496" s="7" t="s">
        <v>7</v>
      </c>
      <c r="B496" s="8">
        <f>B419</f>
        <v>0</v>
      </c>
      <c r="C496" s="9"/>
      <c r="D496" s="9"/>
      <c r="E496" s="56" t="s">
        <v>8</v>
      </c>
      <c r="F496" s="58">
        <f>F454</f>
        <v>0</v>
      </c>
      <c r="G496" s="9"/>
      <c r="H496" s="56">
        <f>H419</f>
        <v>0</v>
      </c>
      <c r="I496" s="57"/>
      <c r="J496" s="57"/>
      <c r="K496" s="57"/>
      <c r="L496" s="57"/>
      <c r="M496" s="57"/>
      <c r="N496" s="57"/>
      <c r="O496" s="58"/>
      <c r="V496" s="55"/>
      <c r="W496" s="55"/>
      <c r="X496" s="55"/>
      <c r="Y496" s="55"/>
      <c r="Z496" s="55"/>
      <c r="AA496" s="55"/>
      <c r="AB496" s="55"/>
    </row>
    <row r="497" spans="1:31" s="6" customFormat="1" ht="15.75" thickBo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11"/>
      <c r="L497" s="11"/>
      <c r="M497" s="11"/>
      <c r="N497" s="9"/>
      <c r="O497" s="5"/>
      <c r="V497" s="55"/>
      <c r="W497" s="55"/>
      <c r="X497" s="55"/>
      <c r="Y497" s="55"/>
      <c r="Z497" s="55"/>
      <c r="AA497" s="55"/>
      <c r="AB497" s="55"/>
    </row>
    <row r="498" spans="1:31" s="6" customFormat="1" ht="36" customHeight="1" thickBot="1">
      <c r="A498" s="7" t="s">
        <v>9</v>
      </c>
      <c r="B498" s="7">
        <f>B421</f>
        <v>0</v>
      </c>
      <c r="C498" s="9"/>
      <c r="D498" s="9"/>
      <c r="E498" s="7" t="s">
        <v>10</v>
      </c>
      <c r="F498" s="7">
        <f>F421</f>
        <v>0</v>
      </c>
      <c r="G498" s="9"/>
      <c r="H498" s="7" t="s">
        <v>11</v>
      </c>
      <c r="I498" s="56">
        <f>I421</f>
        <v>0</v>
      </c>
      <c r="J498" s="57"/>
      <c r="K498" s="57">
        <f>K456</f>
        <v>0</v>
      </c>
      <c r="L498" s="57"/>
      <c r="M498" s="57"/>
      <c r="N498" s="57"/>
      <c r="O498" s="58"/>
      <c r="V498" s="55"/>
      <c r="W498" s="55"/>
      <c r="X498" s="55"/>
      <c r="Y498" s="55"/>
      <c r="Z498" s="55"/>
      <c r="AA498" s="55"/>
      <c r="AB498" s="55"/>
    </row>
    <row r="499" spans="1:31" s="6" customFormat="1" ht="15.75" thickBo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11"/>
      <c r="L499" s="11"/>
      <c r="M499" s="11"/>
      <c r="N499" s="9"/>
      <c r="O499" s="5"/>
      <c r="V499" s="55"/>
      <c r="W499" s="55"/>
      <c r="X499" s="55"/>
      <c r="Y499" s="55"/>
      <c r="Z499" s="55"/>
      <c r="AA499" s="55"/>
      <c r="AB499" s="55"/>
    </row>
    <row r="500" spans="1:31" s="6" customFormat="1" ht="24" customHeight="1" thickBot="1">
      <c r="A500" s="7" t="s">
        <v>12</v>
      </c>
      <c r="B500" s="12">
        <v>8.6999999999999994E-2</v>
      </c>
      <c r="C500" s="9"/>
      <c r="D500" s="9"/>
      <c r="E500" s="7" t="s">
        <v>13</v>
      </c>
      <c r="F500" s="12"/>
      <c r="G500" s="9"/>
      <c r="H500" s="87" t="s">
        <v>14</v>
      </c>
      <c r="I500" s="88"/>
      <c r="J500" s="89"/>
      <c r="K500" s="90">
        <f>L451</f>
        <v>0</v>
      </c>
      <c r="L500" s="91"/>
      <c r="M500" s="91"/>
      <c r="N500" s="91"/>
      <c r="O500" s="92"/>
      <c r="Q500" s="75" t="s">
        <v>235</v>
      </c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</row>
    <row r="501" spans="1:31" ht="15.75" thickBo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11"/>
      <c r="L501" s="11"/>
      <c r="M501" s="11"/>
      <c r="N501" s="9"/>
    </row>
    <row r="502" spans="1:31" ht="39.950000000000003" customHeight="1" thickBot="1">
      <c r="A502" s="81" t="s">
        <v>16</v>
      </c>
      <c r="B502" s="93" t="s">
        <v>17</v>
      </c>
      <c r="C502" s="94"/>
      <c r="D502" s="93" t="s">
        <v>18</v>
      </c>
      <c r="E502" s="94"/>
      <c r="F502" s="81" t="s">
        <v>19</v>
      </c>
      <c r="G502" s="81" t="s">
        <v>20</v>
      </c>
      <c r="H502" s="81" t="s">
        <v>21</v>
      </c>
      <c r="I502" s="81" t="s">
        <v>22</v>
      </c>
      <c r="J502" s="81" t="s">
        <v>23</v>
      </c>
      <c r="K502" s="83" t="s">
        <v>24</v>
      </c>
      <c r="L502" s="83" t="s">
        <v>25</v>
      </c>
      <c r="M502" s="83" t="s">
        <v>26</v>
      </c>
      <c r="N502" s="83" t="s">
        <v>27</v>
      </c>
      <c r="O502" s="85" t="s">
        <v>28</v>
      </c>
      <c r="Q502" s="75" t="s">
        <v>29</v>
      </c>
      <c r="R502" s="75" t="s">
        <v>30</v>
      </c>
      <c r="S502" s="75" t="s">
        <v>31</v>
      </c>
      <c r="T502" s="75" t="s">
        <v>32</v>
      </c>
      <c r="U502" s="75" t="s">
        <v>264</v>
      </c>
      <c r="V502" s="80" t="s">
        <v>33</v>
      </c>
      <c r="W502" s="80" t="s">
        <v>34</v>
      </c>
      <c r="X502" s="80" t="s">
        <v>35</v>
      </c>
      <c r="Y502" s="80" t="s">
        <v>36</v>
      </c>
      <c r="Z502" s="80" t="s">
        <v>37</v>
      </c>
      <c r="AA502" s="80" t="s">
        <v>38</v>
      </c>
      <c r="AB502" s="80" t="s">
        <v>39</v>
      </c>
      <c r="AC502" s="75" t="s">
        <v>40</v>
      </c>
      <c r="AD502" s="75" t="s">
        <v>41</v>
      </c>
      <c r="AE502" s="75" t="s">
        <v>42</v>
      </c>
    </row>
    <row r="503" spans="1:31" ht="39.950000000000003" customHeight="1" thickBot="1">
      <c r="A503" s="82"/>
      <c r="B503" s="7" t="s">
        <v>43</v>
      </c>
      <c r="C503" s="7" t="s">
        <v>44</v>
      </c>
      <c r="D503" s="7" t="s">
        <v>43</v>
      </c>
      <c r="E503" s="7" t="s">
        <v>44</v>
      </c>
      <c r="F503" s="82"/>
      <c r="G503" s="82"/>
      <c r="H503" s="82"/>
      <c r="I503" s="82"/>
      <c r="J503" s="82"/>
      <c r="K503" s="84"/>
      <c r="L503" s="84"/>
      <c r="M503" s="84"/>
      <c r="N503" s="84"/>
      <c r="O503" s="86"/>
      <c r="Q503" s="75"/>
      <c r="R503" s="75"/>
      <c r="S503" s="75"/>
      <c r="T503" s="75"/>
      <c r="U503" s="75"/>
      <c r="V503" s="80"/>
      <c r="W503" s="80"/>
      <c r="X503" s="80"/>
      <c r="Y503" s="80"/>
      <c r="Z503" s="80"/>
      <c r="AA503" s="80"/>
      <c r="AB503" s="80"/>
      <c r="AC503" s="75"/>
      <c r="AD503" s="75"/>
      <c r="AE503" s="75"/>
    </row>
    <row r="504" spans="1:31" ht="18" customHeight="1">
      <c r="A504" s="38" t="s">
        <v>236</v>
      </c>
      <c r="B504" s="22">
        <f>Z504</f>
        <v>0</v>
      </c>
      <c r="C504" s="22">
        <v>0</v>
      </c>
      <c r="D504" s="22">
        <f>B504</f>
        <v>0</v>
      </c>
      <c r="E504" s="22">
        <f>C504</f>
        <v>0</v>
      </c>
      <c r="F504" s="22"/>
      <c r="G504" s="22">
        <f t="shared" ref="G504:G515" si="129">(B504+C504+F504)+(D504+E504)</f>
        <v>0</v>
      </c>
      <c r="H504" s="22"/>
      <c r="I504" s="22">
        <f>(K500+B504+C504+F504)-H504</f>
        <v>0</v>
      </c>
      <c r="J504" s="22">
        <f>(D504+E504)</f>
        <v>0</v>
      </c>
      <c r="K504" s="22">
        <f>(K500+G504)-H504</f>
        <v>0</v>
      </c>
      <c r="L504" s="22">
        <f t="shared" ref="L504:M515" si="130">ROUND((I504*8.7/100)/12,0)</f>
        <v>0</v>
      </c>
      <c r="M504" s="22">
        <f t="shared" si="130"/>
        <v>0</v>
      </c>
      <c r="N504" s="22">
        <f>L504+M504</f>
        <v>0</v>
      </c>
      <c r="O504" s="76" t="s">
        <v>184</v>
      </c>
      <c r="Q504" s="18"/>
      <c r="R504" s="18"/>
      <c r="S504" s="18"/>
      <c r="T504" s="18"/>
      <c r="U504" s="18"/>
      <c r="V504" s="19"/>
      <c r="W504" s="19"/>
      <c r="X504" s="19"/>
      <c r="Y504" s="19">
        <f>V504+W504+X504</f>
        <v>0</v>
      </c>
      <c r="Z504" s="19">
        <f>ROUND(Y504*10%,0)</f>
        <v>0</v>
      </c>
      <c r="AA504" s="19"/>
      <c r="AB504" s="19">
        <f t="shared" ref="AB504:AB515" si="131">AA504-Z504</f>
        <v>0</v>
      </c>
      <c r="AC504" s="20">
        <v>41730</v>
      </c>
      <c r="AD504" s="20">
        <v>41759</v>
      </c>
      <c r="AE504" s="18"/>
    </row>
    <row r="505" spans="1:31" ht="18" customHeight="1">
      <c r="A505" s="38" t="s">
        <v>237</v>
      </c>
      <c r="B505" s="22">
        <f t="shared" ref="B505:B513" si="132">Z505</f>
        <v>0</v>
      </c>
      <c r="C505" s="22">
        <v>0</v>
      </c>
      <c r="D505" s="22">
        <f t="shared" ref="D505:E515" si="133">B505</f>
        <v>0</v>
      </c>
      <c r="E505" s="22">
        <f t="shared" si="133"/>
        <v>0</v>
      </c>
      <c r="F505" s="22"/>
      <c r="G505" s="22">
        <f t="shared" si="129"/>
        <v>0</v>
      </c>
      <c r="H505" s="22"/>
      <c r="I505" s="22">
        <f>(I504+B505+C505+F505)-H505</f>
        <v>0</v>
      </c>
      <c r="J505" s="22">
        <f>(J504+D505+E505)</f>
        <v>0</v>
      </c>
      <c r="K505" s="22">
        <f>(K504+G505)-H505</f>
        <v>0</v>
      </c>
      <c r="L505" s="22">
        <f t="shared" si="130"/>
        <v>0</v>
      </c>
      <c r="M505" s="22">
        <f t="shared" si="130"/>
        <v>0</v>
      </c>
      <c r="N505" s="22">
        <f t="shared" ref="N505:N515" si="134">L505+M505</f>
        <v>0</v>
      </c>
      <c r="O505" s="76"/>
      <c r="Q505" s="18"/>
      <c r="R505" s="18"/>
      <c r="S505" s="18"/>
      <c r="T505" s="18"/>
      <c r="U505" s="18"/>
      <c r="V505" s="19"/>
      <c r="W505" s="19"/>
      <c r="X505" s="19"/>
      <c r="Y505" s="19">
        <f t="shared" ref="Y505:Y515" si="135">V505+W505+X505</f>
        <v>0</v>
      </c>
      <c r="Z505" s="19">
        <f t="shared" ref="Z505:Z515" si="136">ROUND(Y505*10%,0)</f>
        <v>0</v>
      </c>
      <c r="AA505" s="19"/>
      <c r="AB505" s="19">
        <f t="shared" si="131"/>
        <v>0</v>
      </c>
      <c r="AC505" s="20">
        <v>41760</v>
      </c>
      <c r="AD505" s="20">
        <v>41790</v>
      </c>
      <c r="AE505" s="18"/>
    </row>
    <row r="506" spans="1:31" ht="18" customHeight="1">
      <c r="A506" s="38" t="s">
        <v>238</v>
      </c>
      <c r="B506" s="22">
        <f t="shared" si="132"/>
        <v>0</v>
      </c>
      <c r="C506" s="22">
        <v>0</v>
      </c>
      <c r="D506" s="22">
        <f t="shared" si="133"/>
        <v>0</v>
      </c>
      <c r="E506" s="22">
        <f t="shared" si="133"/>
        <v>0</v>
      </c>
      <c r="F506" s="22"/>
      <c r="G506" s="22">
        <f t="shared" si="129"/>
        <v>0</v>
      </c>
      <c r="H506" s="22"/>
      <c r="I506" s="22">
        <f t="shared" ref="I506:I515" si="137">(I505+B506+C506+F506)-H506</f>
        <v>0</v>
      </c>
      <c r="J506" s="22">
        <f t="shared" ref="J506:J515" si="138">(J505+D506+E506)</f>
        <v>0</v>
      </c>
      <c r="K506" s="22">
        <f t="shared" ref="K506:K515" si="139">(K505+G506)-H506</f>
        <v>0</v>
      </c>
      <c r="L506" s="22">
        <f t="shared" si="130"/>
        <v>0</v>
      </c>
      <c r="M506" s="22">
        <f t="shared" si="130"/>
        <v>0</v>
      </c>
      <c r="N506" s="22">
        <f t="shared" si="134"/>
        <v>0</v>
      </c>
      <c r="O506" s="76"/>
      <c r="Q506" s="18"/>
      <c r="R506" s="18"/>
      <c r="S506" s="18"/>
      <c r="T506" s="18"/>
      <c r="U506" s="18"/>
      <c r="V506" s="19"/>
      <c r="W506" s="19"/>
      <c r="X506" s="19"/>
      <c r="Y506" s="19">
        <f t="shared" si="135"/>
        <v>0</v>
      </c>
      <c r="Z506" s="19">
        <f t="shared" si="136"/>
        <v>0</v>
      </c>
      <c r="AA506" s="19"/>
      <c r="AB506" s="19">
        <f t="shared" si="131"/>
        <v>0</v>
      </c>
      <c r="AC506" s="20">
        <v>41791</v>
      </c>
      <c r="AD506" s="20">
        <v>41820</v>
      </c>
      <c r="AE506" s="18"/>
    </row>
    <row r="507" spans="1:31" ht="18" customHeight="1">
      <c r="A507" s="38" t="s">
        <v>239</v>
      </c>
      <c r="B507" s="22">
        <f t="shared" si="132"/>
        <v>0</v>
      </c>
      <c r="C507" s="22">
        <v>0</v>
      </c>
      <c r="D507" s="22">
        <f t="shared" si="133"/>
        <v>0</v>
      </c>
      <c r="E507" s="22">
        <f t="shared" si="133"/>
        <v>0</v>
      </c>
      <c r="F507" s="22"/>
      <c r="G507" s="22">
        <f t="shared" si="129"/>
        <v>0</v>
      </c>
      <c r="H507" s="22"/>
      <c r="I507" s="22">
        <f t="shared" si="137"/>
        <v>0</v>
      </c>
      <c r="J507" s="22">
        <f t="shared" si="138"/>
        <v>0</v>
      </c>
      <c r="K507" s="22">
        <f t="shared" si="139"/>
        <v>0</v>
      </c>
      <c r="L507" s="22">
        <f t="shared" si="130"/>
        <v>0</v>
      </c>
      <c r="M507" s="22">
        <f t="shared" si="130"/>
        <v>0</v>
      </c>
      <c r="N507" s="22">
        <f t="shared" si="134"/>
        <v>0</v>
      </c>
      <c r="O507" s="76"/>
      <c r="Q507" s="18"/>
      <c r="R507" s="18"/>
      <c r="S507" s="18"/>
      <c r="T507" s="18"/>
      <c r="U507" s="18"/>
      <c r="V507" s="19"/>
      <c r="W507" s="19"/>
      <c r="X507" s="19"/>
      <c r="Y507" s="19">
        <f t="shared" si="135"/>
        <v>0</v>
      </c>
      <c r="Z507" s="19">
        <f t="shared" si="136"/>
        <v>0</v>
      </c>
      <c r="AA507" s="19"/>
      <c r="AB507" s="19">
        <f t="shared" si="131"/>
        <v>0</v>
      </c>
      <c r="AC507" s="20">
        <v>41821</v>
      </c>
      <c r="AD507" s="20">
        <v>41851</v>
      </c>
      <c r="AE507" s="18"/>
    </row>
    <row r="508" spans="1:31" ht="18" customHeight="1">
      <c r="A508" s="38" t="s">
        <v>240</v>
      </c>
      <c r="B508" s="22">
        <f t="shared" si="132"/>
        <v>0</v>
      </c>
      <c r="C508" s="22">
        <v>0</v>
      </c>
      <c r="D508" s="22">
        <f t="shared" si="133"/>
        <v>0</v>
      </c>
      <c r="E508" s="22">
        <f t="shared" si="133"/>
        <v>0</v>
      </c>
      <c r="F508" s="22"/>
      <c r="G508" s="22">
        <f t="shared" si="129"/>
        <v>0</v>
      </c>
      <c r="H508" s="22"/>
      <c r="I508" s="22">
        <f t="shared" si="137"/>
        <v>0</v>
      </c>
      <c r="J508" s="22">
        <f t="shared" si="138"/>
        <v>0</v>
      </c>
      <c r="K508" s="22">
        <f t="shared" si="139"/>
        <v>0</v>
      </c>
      <c r="L508" s="22">
        <f t="shared" si="130"/>
        <v>0</v>
      </c>
      <c r="M508" s="22">
        <f t="shared" si="130"/>
        <v>0</v>
      </c>
      <c r="N508" s="22">
        <f t="shared" si="134"/>
        <v>0</v>
      </c>
      <c r="O508" s="76"/>
      <c r="Q508" s="18"/>
      <c r="R508" s="18"/>
      <c r="S508" s="18"/>
      <c r="T508" s="18"/>
      <c r="U508" s="18"/>
      <c r="V508" s="19"/>
      <c r="W508" s="19"/>
      <c r="X508" s="19"/>
      <c r="Y508" s="19">
        <f t="shared" si="135"/>
        <v>0</v>
      </c>
      <c r="Z508" s="19">
        <f t="shared" si="136"/>
        <v>0</v>
      </c>
      <c r="AA508" s="19"/>
      <c r="AB508" s="19">
        <f t="shared" si="131"/>
        <v>0</v>
      </c>
      <c r="AC508" s="20">
        <v>41852</v>
      </c>
      <c r="AD508" s="20">
        <v>41882</v>
      </c>
      <c r="AE508" s="18"/>
    </row>
    <row r="509" spans="1:31" ht="18" customHeight="1">
      <c r="A509" s="38" t="s">
        <v>241</v>
      </c>
      <c r="B509" s="22">
        <f t="shared" si="132"/>
        <v>0</v>
      </c>
      <c r="C509" s="22">
        <v>0</v>
      </c>
      <c r="D509" s="22">
        <f t="shared" si="133"/>
        <v>0</v>
      </c>
      <c r="E509" s="22">
        <f t="shared" si="133"/>
        <v>0</v>
      </c>
      <c r="F509" s="22"/>
      <c r="G509" s="22">
        <f t="shared" si="129"/>
        <v>0</v>
      </c>
      <c r="H509" s="22"/>
      <c r="I509" s="22">
        <f t="shared" si="137"/>
        <v>0</v>
      </c>
      <c r="J509" s="22">
        <f t="shared" si="138"/>
        <v>0</v>
      </c>
      <c r="K509" s="22">
        <f t="shared" si="139"/>
        <v>0</v>
      </c>
      <c r="L509" s="22">
        <f t="shared" si="130"/>
        <v>0</v>
      </c>
      <c r="M509" s="22">
        <f t="shared" si="130"/>
        <v>0</v>
      </c>
      <c r="N509" s="22">
        <f t="shared" si="134"/>
        <v>0</v>
      </c>
      <c r="O509" s="76"/>
      <c r="Q509" s="18"/>
      <c r="R509" s="18"/>
      <c r="S509" s="18"/>
      <c r="T509" s="18"/>
      <c r="U509" s="18"/>
      <c r="V509" s="19"/>
      <c r="W509" s="19"/>
      <c r="X509" s="19"/>
      <c r="Y509" s="19">
        <f t="shared" si="135"/>
        <v>0</v>
      </c>
      <c r="Z509" s="19">
        <f t="shared" si="136"/>
        <v>0</v>
      </c>
      <c r="AA509" s="19"/>
      <c r="AB509" s="19">
        <f t="shared" si="131"/>
        <v>0</v>
      </c>
      <c r="AC509" s="20">
        <v>41883</v>
      </c>
      <c r="AD509" s="20">
        <v>41912</v>
      </c>
      <c r="AE509" s="18"/>
    </row>
    <row r="510" spans="1:31" ht="18" customHeight="1">
      <c r="A510" s="38" t="s">
        <v>242</v>
      </c>
      <c r="B510" s="22">
        <f t="shared" si="132"/>
        <v>0</v>
      </c>
      <c r="C510" s="22">
        <v>0</v>
      </c>
      <c r="D510" s="22">
        <f t="shared" si="133"/>
        <v>0</v>
      </c>
      <c r="E510" s="22">
        <f t="shared" si="133"/>
        <v>0</v>
      </c>
      <c r="F510" s="22"/>
      <c r="G510" s="22">
        <f t="shared" si="129"/>
        <v>0</v>
      </c>
      <c r="H510" s="22"/>
      <c r="I510" s="22">
        <f t="shared" si="137"/>
        <v>0</v>
      </c>
      <c r="J510" s="22">
        <f t="shared" si="138"/>
        <v>0</v>
      </c>
      <c r="K510" s="22">
        <f t="shared" si="139"/>
        <v>0</v>
      </c>
      <c r="L510" s="22">
        <f t="shared" si="130"/>
        <v>0</v>
      </c>
      <c r="M510" s="22">
        <f t="shared" si="130"/>
        <v>0</v>
      </c>
      <c r="N510" s="22">
        <f t="shared" si="134"/>
        <v>0</v>
      </c>
      <c r="O510" s="76"/>
      <c r="Q510" s="18"/>
      <c r="R510" s="18"/>
      <c r="S510" s="18"/>
      <c r="T510" s="18"/>
      <c r="U510" s="18"/>
      <c r="V510" s="19"/>
      <c r="W510" s="19"/>
      <c r="X510" s="19"/>
      <c r="Y510" s="19">
        <f t="shared" si="135"/>
        <v>0</v>
      </c>
      <c r="Z510" s="19">
        <f t="shared" si="136"/>
        <v>0</v>
      </c>
      <c r="AA510" s="19"/>
      <c r="AB510" s="19">
        <f t="shared" si="131"/>
        <v>0</v>
      </c>
      <c r="AC510" s="20">
        <v>41913</v>
      </c>
      <c r="AD510" s="20">
        <v>41943</v>
      </c>
      <c r="AE510" s="18"/>
    </row>
    <row r="511" spans="1:31" ht="18" customHeight="1">
      <c r="A511" s="38" t="s">
        <v>243</v>
      </c>
      <c r="B511" s="22">
        <f t="shared" si="132"/>
        <v>0</v>
      </c>
      <c r="C511" s="22">
        <v>0</v>
      </c>
      <c r="D511" s="22">
        <f t="shared" si="133"/>
        <v>0</v>
      </c>
      <c r="E511" s="22">
        <f t="shared" si="133"/>
        <v>0</v>
      </c>
      <c r="F511" s="22"/>
      <c r="G511" s="22">
        <f t="shared" si="129"/>
        <v>0</v>
      </c>
      <c r="H511" s="22"/>
      <c r="I511" s="22">
        <f t="shared" si="137"/>
        <v>0</v>
      </c>
      <c r="J511" s="22">
        <f t="shared" si="138"/>
        <v>0</v>
      </c>
      <c r="K511" s="22">
        <f t="shared" si="139"/>
        <v>0</v>
      </c>
      <c r="L511" s="22">
        <f t="shared" si="130"/>
        <v>0</v>
      </c>
      <c r="M511" s="22">
        <f t="shared" si="130"/>
        <v>0</v>
      </c>
      <c r="N511" s="22">
        <f t="shared" si="134"/>
        <v>0</v>
      </c>
      <c r="O511" s="76"/>
      <c r="Q511" s="18"/>
      <c r="R511" s="18"/>
      <c r="S511" s="18"/>
      <c r="T511" s="18"/>
      <c r="U511" s="18"/>
      <c r="V511" s="19"/>
      <c r="W511" s="19"/>
      <c r="X511" s="19"/>
      <c r="Y511" s="19">
        <f t="shared" si="135"/>
        <v>0</v>
      </c>
      <c r="Z511" s="19">
        <f t="shared" si="136"/>
        <v>0</v>
      </c>
      <c r="AA511" s="19"/>
      <c r="AB511" s="19">
        <f t="shared" si="131"/>
        <v>0</v>
      </c>
      <c r="AC511" s="20">
        <v>41944</v>
      </c>
      <c r="AD511" s="20">
        <v>41973</v>
      </c>
      <c r="AE511" s="18"/>
    </row>
    <row r="512" spans="1:31" ht="18" customHeight="1">
      <c r="A512" s="38" t="s">
        <v>244</v>
      </c>
      <c r="B512" s="22">
        <f t="shared" si="132"/>
        <v>0</v>
      </c>
      <c r="C512" s="22">
        <v>0</v>
      </c>
      <c r="D512" s="22">
        <f t="shared" si="133"/>
        <v>0</v>
      </c>
      <c r="E512" s="22">
        <f t="shared" si="133"/>
        <v>0</v>
      </c>
      <c r="F512" s="22"/>
      <c r="G512" s="22">
        <f t="shared" si="129"/>
        <v>0</v>
      </c>
      <c r="H512" s="22"/>
      <c r="I512" s="22">
        <f t="shared" si="137"/>
        <v>0</v>
      </c>
      <c r="J512" s="22">
        <f t="shared" si="138"/>
        <v>0</v>
      </c>
      <c r="K512" s="22">
        <f t="shared" si="139"/>
        <v>0</v>
      </c>
      <c r="L512" s="22">
        <f t="shared" si="130"/>
        <v>0</v>
      </c>
      <c r="M512" s="22">
        <f t="shared" si="130"/>
        <v>0</v>
      </c>
      <c r="N512" s="22">
        <f t="shared" si="134"/>
        <v>0</v>
      </c>
      <c r="O512" s="76"/>
      <c r="Q512" s="18"/>
      <c r="R512" s="18"/>
      <c r="S512" s="18"/>
      <c r="T512" s="18"/>
      <c r="U512" s="18"/>
      <c r="V512" s="19"/>
      <c r="W512" s="19"/>
      <c r="X512" s="19"/>
      <c r="Y512" s="19">
        <f t="shared" si="135"/>
        <v>0</v>
      </c>
      <c r="Z512" s="19">
        <f t="shared" si="136"/>
        <v>0</v>
      </c>
      <c r="AA512" s="19"/>
      <c r="AB512" s="19">
        <f t="shared" si="131"/>
        <v>0</v>
      </c>
      <c r="AC512" s="20">
        <v>41974</v>
      </c>
      <c r="AD512" s="20">
        <v>42004</v>
      </c>
      <c r="AE512" s="18"/>
    </row>
    <row r="513" spans="1:31" ht="18" customHeight="1">
      <c r="A513" s="38" t="s">
        <v>245</v>
      </c>
      <c r="B513" s="22">
        <f t="shared" si="132"/>
        <v>0</v>
      </c>
      <c r="C513" s="22">
        <v>0</v>
      </c>
      <c r="D513" s="22">
        <f t="shared" si="133"/>
        <v>0</v>
      </c>
      <c r="E513" s="22">
        <f t="shared" si="133"/>
        <v>0</v>
      </c>
      <c r="F513" s="22"/>
      <c r="G513" s="22">
        <f t="shared" si="129"/>
        <v>0</v>
      </c>
      <c r="H513" s="22"/>
      <c r="I513" s="22">
        <f t="shared" si="137"/>
        <v>0</v>
      </c>
      <c r="J513" s="22">
        <f t="shared" si="138"/>
        <v>0</v>
      </c>
      <c r="K513" s="22">
        <f t="shared" si="139"/>
        <v>0</v>
      </c>
      <c r="L513" s="22">
        <f t="shared" si="130"/>
        <v>0</v>
      </c>
      <c r="M513" s="22">
        <f t="shared" si="130"/>
        <v>0</v>
      </c>
      <c r="N513" s="22">
        <f t="shared" si="134"/>
        <v>0</v>
      </c>
      <c r="O513" s="76"/>
      <c r="Q513" s="18"/>
      <c r="R513" s="18"/>
      <c r="S513" s="18"/>
      <c r="T513" s="18"/>
      <c r="U513" s="18"/>
      <c r="V513" s="19"/>
      <c r="W513" s="19"/>
      <c r="X513" s="19"/>
      <c r="Y513" s="19">
        <f t="shared" si="135"/>
        <v>0</v>
      </c>
      <c r="Z513" s="19">
        <f t="shared" si="136"/>
        <v>0</v>
      </c>
      <c r="AA513" s="19"/>
      <c r="AB513" s="19">
        <f t="shared" si="131"/>
        <v>0</v>
      </c>
      <c r="AC513" s="20">
        <v>42005</v>
      </c>
      <c r="AD513" s="20">
        <v>42035</v>
      </c>
      <c r="AE513" s="18"/>
    </row>
    <row r="514" spans="1:31" ht="18" customHeight="1">
      <c r="A514" s="38" t="s">
        <v>246</v>
      </c>
      <c r="B514" s="22">
        <v>0</v>
      </c>
      <c r="C514" s="22">
        <v>0</v>
      </c>
      <c r="D514" s="22">
        <f t="shared" si="133"/>
        <v>0</v>
      </c>
      <c r="E514" s="22">
        <f t="shared" si="133"/>
        <v>0</v>
      </c>
      <c r="F514" s="22"/>
      <c r="G514" s="22">
        <f t="shared" si="129"/>
        <v>0</v>
      </c>
      <c r="H514" s="22"/>
      <c r="I514" s="22">
        <f t="shared" si="137"/>
        <v>0</v>
      </c>
      <c r="J514" s="22">
        <f t="shared" si="138"/>
        <v>0</v>
      </c>
      <c r="K514" s="22">
        <f t="shared" si="139"/>
        <v>0</v>
      </c>
      <c r="L514" s="22">
        <f t="shared" si="130"/>
        <v>0</v>
      </c>
      <c r="M514" s="22">
        <f t="shared" si="130"/>
        <v>0</v>
      </c>
      <c r="N514" s="22">
        <f t="shared" si="134"/>
        <v>0</v>
      </c>
      <c r="O514" s="76"/>
      <c r="Q514" s="18"/>
      <c r="R514" s="18"/>
      <c r="S514" s="18"/>
      <c r="T514" s="18"/>
      <c r="U514" s="18"/>
      <c r="V514" s="19"/>
      <c r="W514" s="19"/>
      <c r="X514" s="19"/>
      <c r="Y514" s="19">
        <f t="shared" si="135"/>
        <v>0</v>
      </c>
      <c r="Z514" s="19">
        <f t="shared" si="136"/>
        <v>0</v>
      </c>
      <c r="AA514" s="19"/>
      <c r="AB514" s="19">
        <f t="shared" si="131"/>
        <v>0</v>
      </c>
      <c r="AC514" s="20">
        <v>42036</v>
      </c>
      <c r="AD514" s="20">
        <v>42063</v>
      </c>
      <c r="AE514" s="18"/>
    </row>
    <row r="515" spans="1:31" ht="18" customHeight="1">
      <c r="A515" s="38" t="s">
        <v>247</v>
      </c>
      <c r="B515" s="22">
        <v>0</v>
      </c>
      <c r="C515" s="22">
        <v>0</v>
      </c>
      <c r="D515" s="22">
        <f t="shared" si="133"/>
        <v>0</v>
      </c>
      <c r="E515" s="22">
        <f t="shared" si="133"/>
        <v>0</v>
      </c>
      <c r="F515" s="22"/>
      <c r="G515" s="22">
        <f t="shared" si="129"/>
        <v>0</v>
      </c>
      <c r="H515" s="22"/>
      <c r="I515" s="22">
        <f t="shared" si="137"/>
        <v>0</v>
      </c>
      <c r="J515" s="22">
        <f t="shared" si="138"/>
        <v>0</v>
      </c>
      <c r="K515" s="22">
        <f t="shared" si="139"/>
        <v>0</v>
      </c>
      <c r="L515" s="22">
        <f t="shared" si="130"/>
        <v>0</v>
      </c>
      <c r="M515" s="22">
        <f t="shared" si="130"/>
        <v>0</v>
      </c>
      <c r="N515" s="22">
        <f t="shared" si="134"/>
        <v>0</v>
      </c>
      <c r="O515" s="76"/>
      <c r="Q515" s="18"/>
      <c r="R515" s="18"/>
      <c r="S515" s="18"/>
      <c r="T515" s="18"/>
      <c r="U515" s="18"/>
      <c r="V515" s="19"/>
      <c r="W515" s="19"/>
      <c r="X515" s="19"/>
      <c r="Y515" s="19">
        <f t="shared" si="135"/>
        <v>0</v>
      </c>
      <c r="Z515" s="19">
        <f t="shared" si="136"/>
        <v>0</v>
      </c>
      <c r="AA515" s="19"/>
      <c r="AB515" s="19">
        <f t="shared" si="131"/>
        <v>0</v>
      </c>
      <c r="AC515" s="20">
        <v>42064</v>
      </c>
      <c r="AD515" s="20">
        <v>42094</v>
      </c>
      <c r="AE515" s="18"/>
    </row>
    <row r="516" spans="1:31" ht="18" customHeight="1" thickBot="1">
      <c r="A516" s="34" t="s">
        <v>248</v>
      </c>
      <c r="B516" s="35">
        <f t="shared" ref="B516:N516" si="140">SUM(B504:B515)</f>
        <v>0</v>
      </c>
      <c r="C516" s="35">
        <f t="shared" si="140"/>
        <v>0</v>
      </c>
      <c r="D516" s="35">
        <f t="shared" si="140"/>
        <v>0</v>
      </c>
      <c r="E516" s="35">
        <f t="shared" si="140"/>
        <v>0</v>
      </c>
      <c r="F516" s="35">
        <f t="shared" si="140"/>
        <v>0</v>
      </c>
      <c r="G516" s="35">
        <f t="shared" si="140"/>
        <v>0</v>
      </c>
      <c r="H516" s="35">
        <f t="shared" si="140"/>
        <v>0</v>
      </c>
      <c r="I516" s="35">
        <f t="shared" si="140"/>
        <v>0</v>
      </c>
      <c r="J516" s="35">
        <f t="shared" si="140"/>
        <v>0</v>
      </c>
      <c r="K516" s="35">
        <f t="shared" si="140"/>
        <v>0</v>
      </c>
      <c r="L516" s="35">
        <f t="shared" si="140"/>
        <v>0</v>
      </c>
      <c r="M516" s="35">
        <f t="shared" si="140"/>
        <v>0</v>
      </c>
      <c r="N516" s="35">
        <f t="shared" si="140"/>
        <v>0</v>
      </c>
      <c r="O516" s="37"/>
      <c r="Q516" s="77" t="s">
        <v>36</v>
      </c>
      <c r="R516" s="78"/>
      <c r="S516" s="78"/>
      <c r="T516" s="79"/>
      <c r="U516" s="27"/>
      <c r="V516" s="28">
        <f t="shared" ref="V516:AB516" si="141">SUM(V504:V515)</f>
        <v>0</v>
      </c>
      <c r="W516" s="28">
        <f t="shared" si="141"/>
        <v>0</v>
      </c>
      <c r="X516" s="28">
        <f t="shared" si="141"/>
        <v>0</v>
      </c>
      <c r="Y516" s="28">
        <f t="shared" si="141"/>
        <v>0</v>
      </c>
      <c r="Z516" s="28">
        <f t="shared" si="141"/>
        <v>0</v>
      </c>
      <c r="AA516" s="28">
        <f t="shared" si="141"/>
        <v>0</v>
      </c>
      <c r="AB516" s="28">
        <f t="shared" si="141"/>
        <v>0</v>
      </c>
      <c r="AC516" s="18"/>
      <c r="AD516" s="18"/>
      <c r="AE516" s="18"/>
    </row>
    <row r="517" spans="1:31" ht="15.75" thickBo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11"/>
      <c r="L517" s="11"/>
      <c r="M517" s="11"/>
      <c r="N517" s="9"/>
    </row>
    <row r="518" spans="1:31" ht="15.75" customHeight="1" thickBot="1">
      <c r="A518" s="9"/>
      <c r="B518" s="11"/>
      <c r="C518" s="11"/>
      <c r="D518" s="11"/>
      <c r="E518" s="9"/>
      <c r="F518" s="8">
        <v>1</v>
      </c>
      <c r="G518" s="56" t="s">
        <v>59</v>
      </c>
      <c r="H518" s="57"/>
      <c r="I518" s="57"/>
      <c r="J518" s="57"/>
      <c r="K518" s="58"/>
      <c r="L518" s="25">
        <f>K500</f>
        <v>0</v>
      </c>
      <c r="M518" s="5"/>
      <c r="O518" s="1"/>
      <c r="S518" s="29"/>
      <c r="T518" s="29"/>
      <c r="U518" s="29"/>
      <c r="AA518" s="15"/>
      <c r="AB518" s="15"/>
    </row>
    <row r="519" spans="1:31" ht="15.75" customHeight="1" thickBot="1">
      <c r="A519" s="9"/>
      <c r="B519" s="9"/>
      <c r="C519" s="9"/>
      <c r="D519" s="9"/>
      <c r="E519" s="9"/>
      <c r="F519" s="8">
        <v>2</v>
      </c>
      <c r="G519" s="56" t="s">
        <v>60</v>
      </c>
      <c r="H519" s="57"/>
      <c r="I519" s="57"/>
      <c r="J519" s="57"/>
      <c r="K519" s="58"/>
      <c r="L519" s="25">
        <f>B516+C516</f>
        <v>0</v>
      </c>
      <c r="M519" s="5"/>
      <c r="O519" s="1"/>
      <c r="S519" s="29"/>
      <c r="T519" s="29"/>
      <c r="U519" s="29"/>
      <c r="AA519" s="15"/>
      <c r="AB519" s="15"/>
    </row>
    <row r="520" spans="1:31" ht="15.75" thickBot="1">
      <c r="A520" s="9"/>
      <c r="B520" s="9"/>
      <c r="C520" s="9"/>
      <c r="D520" s="9"/>
      <c r="E520" s="9"/>
      <c r="F520" s="8">
        <v>3</v>
      </c>
      <c r="G520" s="56" t="s">
        <v>113</v>
      </c>
      <c r="H520" s="57"/>
      <c r="I520" s="57"/>
      <c r="J520" s="57"/>
      <c r="K520" s="58"/>
      <c r="L520" s="25">
        <f>F516</f>
        <v>0</v>
      </c>
      <c r="M520" s="5"/>
      <c r="O520" s="1"/>
      <c r="S520" s="29"/>
      <c r="T520" s="29"/>
      <c r="U520" s="29"/>
      <c r="AA520" s="15"/>
      <c r="AB520" s="15"/>
    </row>
    <row r="521" spans="1:31" ht="15.75" customHeight="1" thickBot="1">
      <c r="A521" s="9"/>
      <c r="B521" s="9"/>
      <c r="C521" s="9"/>
      <c r="D521" s="9"/>
      <c r="E521" s="9"/>
      <c r="F521" s="8">
        <v>4</v>
      </c>
      <c r="G521" s="56" t="s">
        <v>62</v>
      </c>
      <c r="H521" s="57"/>
      <c r="I521" s="57"/>
      <c r="J521" s="57"/>
      <c r="K521" s="58"/>
      <c r="L521" s="25">
        <f>L519+L520</f>
        <v>0</v>
      </c>
      <c r="M521" s="5"/>
      <c r="O521" s="1"/>
      <c r="S521" s="29"/>
      <c r="T521" s="29"/>
      <c r="U521" s="29"/>
      <c r="AA521" s="15"/>
      <c r="AB521" s="15"/>
    </row>
    <row r="522" spans="1:31" ht="15.75" customHeight="1" thickBot="1">
      <c r="A522" s="9"/>
      <c r="B522" s="9"/>
      <c r="C522" s="9"/>
      <c r="D522" s="9"/>
      <c r="E522" s="9"/>
      <c r="F522" s="8">
        <v>5</v>
      </c>
      <c r="G522" s="56" t="s">
        <v>18</v>
      </c>
      <c r="H522" s="57"/>
      <c r="I522" s="57"/>
      <c r="J522" s="57"/>
      <c r="K522" s="58"/>
      <c r="L522" s="25">
        <f>D516+E516</f>
        <v>0</v>
      </c>
      <c r="M522" s="5"/>
      <c r="O522" s="1"/>
      <c r="S522" s="29"/>
      <c r="T522" s="29"/>
      <c r="U522" s="29"/>
      <c r="AA522" s="15"/>
      <c r="AB522" s="15"/>
    </row>
    <row r="523" spans="1:31" ht="15.75" customHeight="1" thickBot="1">
      <c r="A523" s="9"/>
      <c r="B523" s="9"/>
      <c r="C523" s="9"/>
      <c r="D523" s="9"/>
      <c r="E523" s="9"/>
      <c r="F523" s="8">
        <v>6</v>
      </c>
      <c r="G523" s="56" t="s">
        <v>63</v>
      </c>
      <c r="H523" s="57"/>
      <c r="I523" s="57"/>
      <c r="J523" s="57"/>
      <c r="K523" s="58"/>
      <c r="L523" s="25">
        <f>L518+L521+L522</f>
        <v>0</v>
      </c>
      <c r="M523" s="5"/>
      <c r="O523" s="1"/>
      <c r="S523" s="29"/>
      <c r="T523" s="29"/>
      <c r="U523" s="29"/>
      <c r="AA523" s="15"/>
      <c r="AB523" s="15"/>
    </row>
    <row r="524" spans="1:31" ht="15.75" customHeight="1" thickBot="1">
      <c r="A524" s="9"/>
      <c r="B524" s="9"/>
      <c r="C524" s="9"/>
      <c r="D524" s="9"/>
      <c r="E524" s="9"/>
      <c r="F524" s="8">
        <v>7</v>
      </c>
      <c r="G524" s="56" t="s">
        <v>64</v>
      </c>
      <c r="H524" s="57"/>
      <c r="I524" s="57"/>
      <c r="J524" s="57"/>
      <c r="K524" s="58"/>
      <c r="L524" s="25">
        <f>H516</f>
        <v>0</v>
      </c>
      <c r="M524" s="5"/>
      <c r="O524" s="1"/>
      <c r="S524" s="29"/>
      <c r="T524" s="29"/>
      <c r="U524" s="29"/>
      <c r="AA524" s="15"/>
      <c r="AB524" s="15"/>
    </row>
    <row r="525" spans="1:31" ht="15.75" thickBot="1">
      <c r="A525" s="9"/>
      <c r="B525" s="9"/>
      <c r="C525" s="9"/>
      <c r="D525" s="9"/>
      <c r="E525" s="9"/>
      <c r="F525" s="8">
        <v>8</v>
      </c>
      <c r="G525" s="56" t="s">
        <v>25</v>
      </c>
      <c r="H525" s="57"/>
      <c r="I525" s="57"/>
      <c r="J525" s="57"/>
      <c r="K525" s="58"/>
      <c r="L525" s="25">
        <f>L516</f>
        <v>0</v>
      </c>
      <c r="M525" s="30"/>
      <c r="N525" s="11"/>
    </row>
    <row r="526" spans="1:31" ht="15.75" thickBot="1">
      <c r="A526" s="9"/>
      <c r="B526" s="9"/>
      <c r="C526" s="9"/>
      <c r="D526" s="9"/>
      <c r="E526" s="9"/>
      <c r="F526" s="8">
        <v>9</v>
      </c>
      <c r="G526" s="56" t="s">
        <v>26</v>
      </c>
      <c r="H526" s="57"/>
      <c r="I526" s="57"/>
      <c r="J526" s="57"/>
      <c r="K526" s="58"/>
      <c r="L526" s="25">
        <f>M516</f>
        <v>0</v>
      </c>
      <c r="M526" s="30"/>
      <c r="N526" s="11"/>
    </row>
    <row r="527" spans="1:31" ht="15.75" thickBot="1">
      <c r="A527" s="9"/>
      <c r="B527" s="9"/>
      <c r="C527" s="9"/>
      <c r="D527" s="9"/>
      <c r="E527" s="9"/>
      <c r="F527" s="8">
        <v>10</v>
      </c>
      <c r="G527" s="56" t="s">
        <v>65</v>
      </c>
      <c r="H527" s="57"/>
      <c r="I527" s="57"/>
      <c r="J527" s="57"/>
      <c r="K527" s="58"/>
      <c r="L527" s="25">
        <f>N516</f>
        <v>0</v>
      </c>
      <c r="M527" s="30"/>
      <c r="N527" s="11"/>
    </row>
    <row r="528" spans="1:31" ht="15.75" thickBot="1">
      <c r="A528" s="9"/>
      <c r="B528" s="9"/>
      <c r="C528" s="9"/>
      <c r="D528" s="9"/>
      <c r="E528" s="9"/>
      <c r="F528" s="8">
        <v>11</v>
      </c>
      <c r="G528" s="57" t="s">
        <v>249</v>
      </c>
      <c r="H528" s="57"/>
      <c r="I528" s="57"/>
      <c r="J528" s="57"/>
      <c r="K528" s="58"/>
      <c r="L528" s="25">
        <f>L523-L524+L527</f>
        <v>0</v>
      </c>
      <c r="M528" s="30"/>
      <c r="N528" s="11"/>
      <c r="P528" s="15"/>
    </row>
    <row r="529" spans="1:15">
      <c r="A529" s="9"/>
      <c r="B529" s="9"/>
      <c r="C529" s="9"/>
      <c r="D529" s="9"/>
      <c r="E529" s="9"/>
      <c r="F529" s="9"/>
      <c r="G529" s="30"/>
      <c r="H529" s="30"/>
      <c r="I529" s="30"/>
      <c r="J529" s="30"/>
      <c r="K529" s="30"/>
      <c r="L529" s="30"/>
      <c r="M529" s="30"/>
      <c r="N529" s="11"/>
    </row>
    <row r="530" spans="1:15">
      <c r="A530" s="9"/>
      <c r="B530" s="9"/>
      <c r="C530" s="9"/>
      <c r="D530" s="9"/>
      <c r="E530" s="9"/>
      <c r="F530" s="9"/>
      <c r="G530" s="30"/>
      <c r="H530" s="30"/>
      <c r="I530" s="30"/>
      <c r="J530" s="30"/>
      <c r="K530" s="30"/>
      <c r="L530" s="30"/>
      <c r="M530" s="30"/>
      <c r="N530" s="11"/>
    </row>
    <row r="531" spans="1:15">
      <c r="A531" s="9"/>
      <c r="B531" s="9"/>
      <c r="C531" s="9"/>
      <c r="D531" s="9"/>
      <c r="E531" s="9"/>
      <c r="F531" s="9"/>
      <c r="G531" s="30"/>
      <c r="H531" s="30"/>
      <c r="I531" s="30"/>
      <c r="J531" s="30"/>
      <c r="K531" s="30"/>
      <c r="L531" s="30"/>
      <c r="M531" s="30"/>
      <c r="N531" s="11"/>
    </row>
    <row r="532" spans="1:15">
      <c r="A532" s="9"/>
      <c r="B532" s="9"/>
      <c r="C532" s="9"/>
      <c r="D532" s="9"/>
      <c r="E532" s="9"/>
      <c r="F532" s="9"/>
      <c r="G532" s="30"/>
      <c r="H532" s="30"/>
      <c r="I532" s="30"/>
      <c r="J532" s="30"/>
      <c r="K532" s="30"/>
      <c r="L532" s="30"/>
      <c r="M532" s="30"/>
      <c r="N532" s="11"/>
    </row>
    <row r="533" spans="1:15" ht="18">
      <c r="A533" s="73" t="s">
        <v>2</v>
      </c>
      <c r="B533" s="73"/>
      <c r="C533" s="3"/>
      <c r="D533" s="3"/>
      <c r="E533" s="73" t="s">
        <v>3</v>
      </c>
      <c r="F533" s="73"/>
      <c r="G533" s="73"/>
      <c r="H533" s="74" t="s">
        <v>4</v>
      </c>
      <c r="I533" s="74"/>
      <c r="J533" s="74"/>
      <c r="K533" s="74"/>
      <c r="L533" s="74"/>
      <c r="M533" s="74"/>
      <c r="N533" s="74"/>
    </row>
    <row r="534" spans="1:15" ht="18.75" hidden="1">
      <c r="A534" s="67" t="s">
        <v>0</v>
      </c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</row>
    <row r="535" spans="1:15" ht="18.75" hidden="1">
      <c r="A535" s="67" t="s">
        <v>1</v>
      </c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</row>
    <row r="536" spans="1:15"/>
    <row r="537" spans="1:15" hidden="1">
      <c r="A537" s="68" t="s">
        <v>250</v>
      </c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</row>
    <row r="538" spans="1:15" ht="22.5" hidden="1">
      <c r="A538" s="39" t="s">
        <v>7</v>
      </c>
      <c r="B538" s="40">
        <f>B500</f>
        <v>8.6999999999999994E-2</v>
      </c>
      <c r="C538" s="40"/>
      <c r="D538" s="40"/>
      <c r="E538" s="39" t="s">
        <v>8</v>
      </c>
      <c r="F538" s="69">
        <f>F500</f>
        <v>0</v>
      </c>
      <c r="G538" s="69"/>
      <c r="H538" s="69"/>
      <c r="I538" s="69"/>
      <c r="J538" s="69"/>
      <c r="K538" s="69"/>
      <c r="L538" s="69"/>
      <c r="M538" s="69"/>
      <c r="N538" s="69"/>
    </row>
    <row r="539" spans="1:15" hidden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11"/>
      <c r="L539" s="11"/>
      <c r="M539" s="11"/>
      <c r="N539" s="9"/>
    </row>
    <row r="540" spans="1:15" ht="22.5" hidden="1">
      <c r="A540" s="39" t="s">
        <v>9</v>
      </c>
      <c r="B540" s="40" t="str">
        <f>B502</f>
        <v>कर्मचारी वर्गणी</v>
      </c>
      <c r="C540" s="40"/>
      <c r="D540" s="40"/>
      <c r="E540" s="39" t="s">
        <v>10</v>
      </c>
      <c r="F540" s="70"/>
      <c r="G540" s="71"/>
      <c r="H540" s="39" t="s">
        <v>11</v>
      </c>
      <c r="I540" s="39"/>
      <c r="J540" s="39"/>
      <c r="K540" s="72" t="str">
        <f>K502</f>
        <v>व्याज आकारली जाते ती मासिक एकूण रक्कम</v>
      </c>
      <c r="L540" s="72"/>
      <c r="M540" s="72"/>
      <c r="N540" s="72"/>
    </row>
    <row r="541" spans="1:15" hidden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11"/>
      <c r="L541" s="11"/>
      <c r="M541" s="11"/>
      <c r="N541" s="9"/>
    </row>
    <row r="542" spans="1:15" hidden="1">
      <c r="A542" s="39" t="s">
        <v>12</v>
      </c>
      <c r="B542" s="41">
        <v>0.08</v>
      </c>
      <c r="C542" s="41"/>
      <c r="D542" s="41"/>
      <c r="E542" s="39" t="s">
        <v>13</v>
      </c>
      <c r="F542" s="41">
        <v>7.9000000000000001E-2</v>
      </c>
      <c r="G542" s="59" t="s">
        <v>14</v>
      </c>
      <c r="H542" s="60"/>
      <c r="I542" s="42"/>
      <c r="J542" s="42"/>
      <c r="K542" s="61">
        <f>N527</f>
        <v>0</v>
      </c>
      <c r="L542" s="62"/>
      <c r="M542" s="62"/>
      <c r="N542" s="63"/>
    </row>
    <row r="543" spans="1:15" hidden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11"/>
      <c r="L543" s="11"/>
      <c r="M543" s="11"/>
      <c r="N543" s="9"/>
    </row>
    <row r="544" spans="1:15" ht="45" hidden="1">
      <c r="A544" s="48" t="s">
        <v>16</v>
      </c>
      <c r="B544" s="48" t="s">
        <v>17</v>
      </c>
      <c r="C544" s="48"/>
      <c r="D544" s="48"/>
      <c r="E544" s="48" t="s">
        <v>18</v>
      </c>
      <c r="F544" s="48" t="s">
        <v>180</v>
      </c>
      <c r="G544" s="48" t="s">
        <v>20</v>
      </c>
      <c r="H544" s="48" t="s">
        <v>21</v>
      </c>
      <c r="I544" s="48"/>
      <c r="J544" s="48"/>
      <c r="K544" s="49" t="s">
        <v>181</v>
      </c>
      <c r="L544" s="49"/>
      <c r="M544" s="49"/>
      <c r="N544" s="49" t="s">
        <v>182</v>
      </c>
      <c r="O544" s="50" t="s">
        <v>28</v>
      </c>
    </row>
    <row r="545" spans="1:15" hidden="1">
      <c r="A545" s="39" t="s">
        <v>251</v>
      </c>
      <c r="B545" s="51">
        <v>300</v>
      </c>
      <c r="C545" s="51"/>
      <c r="D545" s="51"/>
      <c r="E545" s="51">
        <f>ROUND(B545*10*14%,0)</f>
        <v>420</v>
      </c>
      <c r="F545" s="51">
        <v>0</v>
      </c>
      <c r="G545" s="51">
        <f t="shared" ref="G545:G556" si="142">(E545+B545)+F545</f>
        <v>720</v>
      </c>
      <c r="H545" s="51">
        <v>0</v>
      </c>
      <c r="I545" s="51"/>
      <c r="J545" s="51"/>
      <c r="K545" s="51">
        <f>(K542+G545)-H545</f>
        <v>720</v>
      </c>
      <c r="L545" s="52"/>
      <c r="M545" s="52"/>
      <c r="N545" s="52">
        <f>ROUND((K545*8/100)/12,0)</f>
        <v>5</v>
      </c>
      <c r="O545" s="64" t="s">
        <v>46</v>
      </c>
    </row>
    <row r="546" spans="1:15" hidden="1">
      <c r="A546" s="39" t="s">
        <v>252</v>
      </c>
      <c r="B546" s="51">
        <v>300</v>
      </c>
      <c r="C546" s="51"/>
      <c r="D546" s="51"/>
      <c r="E546" s="51">
        <f t="shared" ref="E546:E556" si="143">ROUND(B546*10*14%,0)</f>
        <v>420</v>
      </c>
      <c r="F546" s="51">
        <v>0</v>
      </c>
      <c r="G546" s="51">
        <f t="shared" si="142"/>
        <v>720</v>
      </c>
      <c r="H546" s="51">
        <v>0</v>
      </c>
      <c r="I546" s="17"/>
      <c r="J546" s="17"/>
      <c r="K546" s="22">
        <f t="shared" ref="K546:K556" si="144">(K545+G546)-H546</f>
        <v>1440</v>
      </c>
      <c r="L546" s="53"/>
      <c r="M546" s="53"/>
      <c r="N546" s="52">
        <f>ROUND((K546*8/100)/12,0)</f>
        <v>10</v>
      </c>
      <c r="O546" s="65"/>
    </row>
    <row r="547" spans="1:15" hidden="1">
      <c r="A547" s="39" t="s">
        <v>253</v>
      </c>
      <c r="B547" s="51">
        <v>300</v>
      </c>
      <c r="C547" s="51"/>
      <c r="D547" s="51"/>
      <c r="E547" s="51">
        <f t="shared" si="143"/>
        <v>420</v>
      </c>
      <c r="F547" s="51">
        <v>0</v>
      </c>
      <c r="G547" s="51">
        <f t="shared" si="142"/>
        <v>720</v>
      </c>
      <c r="H547" s="51">
        <v>0</v>
      </c>
      <c r="I547" s="17"/>
      <c r="J547" s="17"/>
      <c r="K547" s="22">
        <f t="shared" si="144"/>
        <v>2160</v>
      </c>
      <c r="L547" s="53"/>
      <c r="M547" s="53"/>
      <c r="N547" s="52">
        <f>ROUND((K547*8/100)/12,0)</f>
        <v>14</v>
      </c>
      <c r="O547" s="66"/>
    </row>
    <row r="548" spans="1:15" hidden="1">
      <c r="A548" s="39" t="s">
        <v>254</v>
      </c>
      <c r="B548" s="51">
        <v>300</v>
      </c>
      <c r="C548" s="51"/>
      <c r="D548" s="51"/>
      <c r="E548" s="51">
        <f t="shared" si="143"/>
        <v>420</v>
      </c>
      <c r="F548" s="51">
        <v>0</v>
      </c>
      <c r="G548" s="51">
        <f t="shared" si="142"/>
        <v>720</v>
      </c>
      <c r="H548" s="51">
        <v>0</v>
      </c>
      <c r="I548" s="17"/>
      <c r="J548" s="17"/>
      <c r="K548" s="22">
        <f t="shared" si="144"/>
        <v>2880</v>
      </c>
      <c r="L548" s="53"/>
      <c r="M548" s="53"/>
      <c r="N548" s="52">
        <f>ROUND((K548*7.9/100)/12,0)</f>
        <v>19</v>
      </c>
      <c r="O548" s="64" t="s">
        <v>220</v>
      </c>
    </row>
    <row r="549" spans="1:15" hidden="1">
      <c r="A549" s="39" t="s">
        <v>255</v>
      </c>
      <c r="B549" s="51">
        <v>300</v>
      </c>
      <c r="C549" s="51"/>
      <c r="D549" s="51"/>
      <c r="E549" s="51">
        <f t="shared" si="143"/>
        <v>420</v>
      </c>
      <c r="F549" s="51">
        <v>0</v>
      </c>
      <c r="G549" s="51">
        <f t="shared" si="142"/>
        <v>720</v>
      </c>
      <c r="H549" s="51">
        <v>0</v>
      </c>
      <c r="I549" s="17"/>
      <c r="J549" s="17"/>
      <c r="K549" s="22">
        <f t="shared" si="144"/>
        <v>3600</v>
      </c>
      <c r="L549" s="53"/>
      <c r="M549" s="53"/>
      <c r="N549" s="52">
        <f t="shared" ref="N549:N556" si="145">ROUND((K549*7.9/100)/12,0)</f>
        <v>24</v>
      </c>
      <c r="O549" s="65"/>
    </row>
    <row r="550" spans="1:15" hidden="1">
      <c r="A550" s="39" t="s">
        <v>256</v>
      </c>
      <c r="B550" s="51">
        <v>300</v>
      </c>
      <c r="C550" s="51"/>
      <c r="D550" s="51"/>
      <c r="E550" s="51">
        <f t="shared" si="143"/>
        <v>420</v>
      </c>
      <c r="F550" s="51">
        <v>0</v>
      </c>
      <c r="G550" s="51">
        <f t="shared" si="142"/>
        <v>720</v>
      </c>
      <c r="H550" s="51">
        <v>0</v>
      </c>
      <c r="I550" s="17"/>
      <c r="J550" s="17"/>
      <c r="K550" s="22">
        <f t="shared" si="144"/>
        <v>4320</v>
      </c>
      <c r="L550" s="53"/>
      <c r="M550" s="53"/>
      <c r="N550" s="52">
        <f t="shared" si="145"/>
        <v>28</v>
      </c>
      <c r="O550" s="65"/>
    </row>
    <row r="551" spans="1:15" hidden="1">
      <c r="A551" s="39" t="s">
        <v>257</v>
      </c>
      <c r="B551" s="51">
        <v>300</v>
      </c>
      <c r="C551" s="51"/>
      <c r="D551" s="51"/>
      <c r="E551" s="51">
        <f t="shared" si="143"/>
        <v>420</v>
      </c>
      <c r="F551" s="51">
        <v>0</v>
      </c>
      <c r="G551" s="51">
        <f t="shared" si="142"/>
        <v>720</v>
      </c>
      <c r="H551" s="51">
        <v>0</v>
      </c>
      <c r="I551" s="17"/>
      <c r="J551" s="17"/>
      <c r="K551" s="22">
        <f t="shared" si="144"/>
        <v>5040</v>
      </c>
      <c r="L551" s="53"/>
      <c r="M551" s="53"/>
      <c r="N551" s="52">
        <f t="shared" si="145"/>
        <v>33</v>
      </c>
      <c r="O551" s="65"/>
    </row>
    <row r="552" spans="1:15" hidden="1">
      <c r="A552" s="39" t="s">
        <v>258</v>
      </c>
      <c r="B552" s="51">
        <v>300</v>
      </c>
      <c r="C552" s="51"/>
      <c r="D552" s="51"/>
      <c r="E552" s="51">
        <f t="shared" si="143"/>
        <v>420</v>
      </c>
      <c r="F552" s="51">
        <v>0</v>
      </c>
      <c r="G552" s="51">
        <f t="shared" si="142"/>
        <v>720</v>
      </c>
      <c r="H552" s="51">
        <v>0</v>
      </c>
      <c r="I552" s="17"/>
      <c r="J552" s="17"/>
      <c r="K552" s="22">
        <f t="shared" si="144"/>
        <v>5760</v>
      </c>
      <c r="L552" s="53"/>
      <c r="M552" s="53"/>
      <c r="N552" s="52">
        <f t="shared" si="145"/>
        <v>38</v>
      </c>
      <c r="O552" s="65"/>
    </row>
    <row r="553" spans="1:15" hidden="1">
      <c r="A553" s="39" t="s">
        <v>259</v>
      </c>
      <c r="B553" s="51">
        <v>300</v>
      </c>
      <c r="C553" s="51"/>
      <c r="D553" s="51"/>
      <c r="E553" s="51">
        <f t="shared" si="143"/>
        <v>420</v>
      </c>
      <c r="F553" s="51">
        <v>0</v>
      </c>
      <c r="G553" s="51">
        <f t="shared" si="142"/>
        <v>720</v>
      </c>
      <c r="H553" s="51">
        <v>0</v>
      </c>
      <c r="I553" s="17"/>
      <c r="J553" s="17"/>
      <c r="K553" s="22">
        <f t="shared" si="144"/>
        <v>6480</v>
      </c>
      <c r="L553" s="53"/>
      <c r="M553" s="53"/>
      <c r="N553" s="52">
        <f t="shared" si="145"/>
        <v>43</v>
      </c>
      <c r="O553" s="65"/>
    </row>
    <row r="554" spans="1:15" hidden="1">
      <c r="A554" s="39" t="s">
        <v>260</v>
      </c>
      <c r="B554" s="51">
        <v>1896</v>
      </c>
      <c r="C554" s="51"/>
      <c r="D554" s="51"/>
      <c r="E554" s="51">
        <f t="shared" si="143"/>
        <v>2654</v>
      </c>
      <c r="F554" s="51">
        <v>0</v>
      </c>
      <c r="G554" s="51">
        <f t="shared" si="142"/>
        <v>4550</v>
      </c>
      <c r="H554" s="51">
        <v>0</v>
      </c>
      <c r="I554" s="17"/>
      <c r="J554" s="17"/>
      <c r="K554" s="22">
        <f t="shared" si="144"/>
        <v>11030</v>
      </c>
      <c r="L554" s="53"/>
      <c r="M554" s="53"/>
      <c r="N554" s="52">
        <f t="shared" si="145"/>
        <v>73</v>
      </c>
      <c r="O554" s="65"/>
    </row>
    <row r="555" spans="1:15" hidden="1">
      <c r="A555" s="39" t="s">
        <v>261</v>
      </c>
      <c r="B555" s="51">
        <v>1848</v>
      </c>
      <c r="C555" s="51"/>
      <c r="D555" s="51"/>
      <c r="E555" s="51">
        <f t="shared" si="143"/>
        <v>2587</v>
      </c>
      <c r="F555" s="51">
        <v>0</v>
      </c>
      <c r="G555" s="51">
        <f t="shared" si="142"/>
        <v>4435</v>
      </c>
      <c r="H555" s="51">
        <v>0</v>
      </c>
      <c r="I555" s="17"/>
      <c r="J555" s="17"/>
      <c r="K555" s="22">
        <f t="shared" si="144"/>
        <v>15465</v>
      </c>
      <c r="L555" s="53"/>
      <c r="M555" s="53"/>
      <c r="N555" s="52">
        <f t="shared" si="145"/>
        <v>102</v>
      </c>
      <c r="O555" s="65"/>
    </row>
    <row r="556" spans="1:15" hidden="1">
      <c r="A556" s="39" t="s">
        <v>262</v>
      </c>
      <c r="B556" s="51">
        <v>1848</v>
      </c>
      <c r="C556" s="51"/>
      <c r="D556" s="51"/>
      <c r="E556" s="51">
        <f t="shared" si="143"/>
        <v>2587</v>
      </c>
      <c r="F556" s="51">
        <v>0</v>
      </c>
      <c r="G556" s="51">
        <f t="shared" si="142"/>
        <v>4435</v>
      </c>
      <c r="H556" s="51">
        <v>0</v>
      </c>
      <c r="I556" s="17"/>
      <c r="J556" s="17"/>
      <c r="K556" s="22">
        <f t="shared" si="144"/>
        <v>19900</v>
      </c>
      <c r="L556" s="53"/>
      <c r="M556" s="53"/>
      <c r="N556" s="52">
        <f t="shared" si="145"/>
        <v>131</v>
      </c>
      <c r="O556" s="66"/>
    </row>
    <row r="557" spans="1:15" hidden="1">
      <c r="A557" s="39" t="s">
        <v>263</v>
      </c>
      <c r="B557" s="54">
        <f t="shared" ref="B557:N557" si="146">SUM(B545:B556)</f>
        <v>8292</v>
      </c>
      <c r="C557" s="54"/>
      <c r="D557" s="54"/>
      <c r="E557" s="54">
        <f t="shared" si="146"/>
        <v>11608</v>
      </c>
      <c r="F557" s="54">
        <f t="shared" si="146"/>
        <v>0</v>
      </c>
      <c r="G557" s="54">
        <f t="shared" si="146"/>
        <v>19900</v>
      </c>
      <c r="H557" s="54">
        <f t="shared" si="146"/>
        <v>0</v>
      </c>
      <c r="I557" s="54"/>
      <c r="J557" s="54"/>
      <c r="K557" s="54">
        <f>SUM(K545:K556)</f>
        <v>78795</v>
      </c>
      <c r="L557" s="54"/>
      <c r="M557" s="54"/>
      <c r="N557" s="54">
        <f t="shared" si="146"/>
        <v>520</v>
      </c>
    </row>
    <row r="558" spans="1:15" hidden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11"/>
      <c r="L558" s="11"/>
      <c r="M558" s="11"/>
      <c r="N558" s="9"/>
    </row>
    <row r="559" spans="1:15" ht="15.75" hidden="1" thickBot="1">
      <c r="A559" s="9"/>
      <c r="B559" s="11"/>
      <c r="C559" s="11"/>
      <c r="D559" s="11"/>
      <c r="E559" s="9"/>
      <c r="F559" s="9"/>
      <c r="G559" s="56" t="s">
        <v>59</v>
      </c>
      <c r="H559" s="57"/>
      <c r="I559" s="57"/>
      <c r="J559" s="57"/>
      <c r="K559" s="58"/>
      <c r="L559" s="10"/>
      <c r="M559" s="10"/>
      <c r="N559" s="47">
        <f>K542</f>
        <v>0</v>
      </c>
    </row>
    <row r="560" spans="1:15" ht="15.75" hidden="1" thickBot="1">
      <c r="A560" s="9"/>
      <c r="B560" s="9"/>
      <c r="C560" s="9"/>
      <c r="D560" s="9"/>
      <c r="E560" s="9"/>
      <c r="F560" s="9"/>
      <c r="G560" s="56" t="s">
        <v>197</v>
      </c>
      <c r="H560" s="57"/>
      <c r="I560" s="57"/>
      <c r="J560" s="57"/>
      <c r="K560" s="58"/>
      <c r="L560" s="10"/>
      <c r="M560" s="10"/>
      <c r="N560" s="47">
        <f>B557+F557</f>
        <v>8292</v>
      </c>
    </row>
    <row r="561" spans="1:14" ht="15.75" hidden="1" thickBot="1">
      <c r="A561" s="9"/>
      <c r="B561" s="9"/>
      <c r="C561" s="9"/>
      <c r="D561" s="9"/>
      <c r="E561" s="9"/>
      <c r="F561" s="9"/>
      <c r="G561" s="56" t="s">
        <v>18</v>
      </c>
      <c r="H561" s="57"/>
      <c r="I561" s="57"/>
      <c r="J561" s="57"/>
      <c r="K561" s="58"/>
      <c r="L561" s="10"/>
      <c r="M561" s="10"/>
      <c r="N561" s="47">
        <f>E557</f>
        <v>11608</v>
      </c>
    </row>
    <row r="562" spans="1:14" ht="15.75" hidden="1" thickBot="1">
      <c r="A562" s="9"/>
      <c r="B562" s="9"/>
      <c r="C562" s="9"/>
      <c r="D562" s="9"/>
      <c r="E562" s="9"/>
      <c r="F562" s="9"/>
      <c r="G562" s="56" t="s">
        <v>198</v>
      </c>
      <c r="H562" s="57"/>
      <c r="I562" s="57"/>
      <c r="J562" s="57"/>
      <c r="K562" s="58"/>
      <c r="L562" s="10"/>
      <c r="M562" s="10"/>
      <c r="N562" s="47">
        <f>SUM(N559:N561)</f>
        <v>19900</v>
      </c>
    </row>
    <row r="563" spans="1:14" ht="15.75" hidden="1" thickBot="1">
      <c r="A563" s="9"/>
      <c r="B563" s="9"/>
      <c r="C563" s="9"/>
      <c r="D563" s="9"/>
      <c r="E563" s="9"/>
      <c r="F563" s="9"/>
      <c r="G563" s="56" t="s">
        <v>64</v>
      </c>
      <c r="H563" s="57"/>
      <c r="I563" s="57"/>
      <c r="J563" s="57"/>
      <c r="K563" s="58"/>
      <c r="L563" s="10"/>
      <c r="M563" s="10"/>
      <c r="N563" s="47">
        <f>H557</f>
        <v>0</v>
      </c>
    </row>
    <row r="564" spans="1:14" ht="15.75" hidden="1" thickBot="1">
      <c r="A564" s="9"/>
      <c r="B564" s="9"/>
      <c r="C564" s="9"/>
      <c r="D564" s="9"/>
      <c r="E564" s="9"/>
      <c r="F564" s="9"/>
      <c r="G564" s="56" t="s">
        <v>199</v>
      </c>
      <c r="H564" s="57"/>
      <c r="I564" s="57"/>
      <c r="J564" s="57"/>
      <c r="K564" s="58"/>
      <c r="L564" s="10"/>
      <c r="M564" s="10"/>
      <c r="N564" s="47">
        <f>N557</f>
        <v>520</v>
      </c>
    </row>
    <row r="565" spans="1:14" ht="15.75" hidden="1" thickBot="1">
      <c r="A565" s="9"/>
      <c r="B565" s="9"/>
      <c r="C565" s="9"/>
      <c r="D565" s="9"/>
      <c r="E565" s="9"/>
      <c r="F565" s="9"/>
      <c r="G565" s="56" t="s">
        <v>200</v>
      </c>
      <c r="H565" s="57"/>
      <c r="I565" s="57"/>
      <c r="J565" s="57"/>
      <c r="K565" s="58"/>
      <c r="L565" s="10"/>
      <c r="M565" s="10"/>
      <c r="N565" s="47">
        <f>(N562-N563)+N564</f>
        <v>20420</v>
      </c>
    </row>
    <row r="566" spans="1:14" hidden="1">
      <c r="A566" s="9"/>
      <c r="B566" s="9"/>
      <c r="C566" s="9"/>
      <c r="D566" s="9"/>
      <c r="E566" s="9"/>
      <c r="F566" s="9"/>
      <c r="G566" s="30"/>
      <c r="H566" s="30"/>
      <c r="I566" s="30"/>
      <c r="J566" s="30"/>
      <c r="K566" s="30"/>
      <c r="L566" s="30"/>
      <c r="M566" s="30"/>
      <c r="N566" s="11"/>
    </row>
    <row r="567" spans="1:14"/>
    <row r="568" spans="1:14"/>
    <row r="569" spans="1:14"/>
    <row r="570" spans="1:14"/>
    <row r="571" spans="1:14"/>
    <row r="572" spans="1:14"/>
    <row r="573" spans="1:14"/>
    <row r="574" spans="1:14"/>
    <row r="575" spans="1:14"/>
    <row r="576" spans="1:14"/>
    <row r="577"/>
    <row r="578"/>
    <row r="579"/>
    <row r="580"/>
    <row r="581"/>
    <row r="582"/>
    <row r="583"/>
    <row r="584"/>
    <row r="585"/>
    <row r="586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</sheetData>
  <mergeCells count="609">
    <mergeCell ref="A1:O1"/>
    <mergeCell ref="A2:O2"/>
    <mergeCell ref="A3:B3"/>
    <mergeCell ref="E3:G3"/>
    <mergeCell ref="H3:N3"/>
    <mergeCell ref="A4:O4"/>
    <mergeCell ref="U14:U15"/>
    <mergeCell ref="U59:U60"/>
    <mergeCell ref="U103:U104"/>
    <mergeCell ref="A14:A15"/>
    <mergeCell ref="B14:C14"/>
    <mergeCell ref="D14:E14"/>
    <mergeCell ref="F14:F15"/>
    <mergeCell ref="G14:G15"/>
    <mergeCell ref="H14:H15"/>
    <mergeCell ref="I14:I15"/>
    <mergeCell ref="A5:O5"/>
    <mergeCell ref="A6:O6"/>
    <mergeCell ref="A7:N7"/>
    <mergeCell ref="E8:F8"/>
    <mergeCell ref="H8:O8"/>
    <mergeCell ref="I10:O10"/>
    <mergeCell ref="J14:J15"/>
    <mergeCell ref="K14:K15"/>
    <mergeCell ref="L14:L15"/>
    <mergeCell ref="M14:M15"/>
    <mergeCell ref="N14:N15"/>
    <mergeCell ref="O14:O15"/>
    <mergeCell ref="H12:J12"/>
    <mergeCell ref="K12:O12"/>
    <mergeCell ref="Q12:AE12"/>
    <mergeCell ref="G32:K32"/>
    <mergeCell ref="G33:K33"/>
    <mergeCell ref="G34:K34"/>
    <mergeCell ref="G35:K35"/>
    <mergeCell ref="G36:K36"/>
    <mergeCell ref="G37:K37"/>
    <mergeCell ref="AD14:AD15"/>
    <mergeCell ref="AE14:AE15"/>
    <mergeCell ref="O16:O27"/>
    <mergeCell ref="Q28:T28"/>
    <mergeCell ref="G30:K30"/>
    <mergeCell ref="G31:K31"/>
    <mergeCell ref="X14:X15"/>
    <mergeCell ref="Y14:Y15"/>
    <mergeCell ref="Z14:Z15"/>
    <mergeCell ref="AA14:AA15"/>
    <mergeCell ref="AB14:AB15"/>
    <mergeCell ref="AC14:AC15"/>
    <mergeCell ref="Q14:Q15"/>
    <mergeCell ref="R14:R15"/>
    <mergeCell ref="S14:S15"/>
    <mergeCell ref="T14:T15"/>
    <mergeCell ref="V14:V15"/>
    <mergeCell ref="W14:W15"/>
    <mergeCell ref="A49:O49"/>
    <mergeCell ref="A50:O50"/>
    <mergeCell ref="A51:N51"/>
    <mergeCell ref="Z51:AA51"/>
    <mergeCell ref="A52:N52"/>
    <mergeCell ref="Z52:AA52"/>
    <mergeCell ref="G38:K38"/>
    <mergeCell ref="G39:K39"/>
    <mergeCell ref="G40:K40"/>
    <mergeCell ref="A44:B44"/>
    <mergeCell ref="E44:G44"/>
    <mergeCell ref="H44:N44"/>
    <mergeCell ref="A59:A60"/>
    <mergeCell ref="B59:C59"/>
    <mergeCell ref="D59:E59"/>
    <mergeCell ref="F59:F60"/>
    <mergeCell ref="G59:G60"/>
    <mergeCell ref="H59:H60"/>
    <mergeCell ref="E53:F53"/>
    <mergeCell ref="H53:O53"/>
    <mergeCell ref="Z53:AA53"/>
    <mergeCell ref="Z54:AA54"/>
    <mergeCell ref="I55:O55"/>
    <mergeCell ref="Z55:AA55"/>
    <mergeCell ref="I59:I60"/>
    <mergeCell ref="J59:J60"/>
    <mergeCell ref="K59:K60"/>
    <mergeCell ref="L59:L60"/>
    <mergeCell ref="M59:M60"/>
    <mergeCell ref="N59:N60"/>
    <mergeCell ref="Z56:AA56"/>
    <mergeCell ref="H57:J57"/>
    <mergeCell ref="K57:O57"/>
    <mergeCell ref="Q57:AE57"/>
    <mergeCell ref="G76:K76"/>
    <mergeCell ref="G77:K77"/>
    <mergeCell ref="G78:K78"/>
    <mergeCell ref="G79:K79"/>
    <mergeCell ref="G80:K80"/>
    <mergeCell ref="G81:K81"/>
    <mergeCell ref="AC59:AC60"/>
    <mergeCell ref="AD59:AD60"/>
    <mergeCell ref="AE59:AE60"/>
    <mergeCell ref="O61:O72"/>
    <mergeCell ref="Q73:T73"/>
    <mergeCell ref="G75:K75"/>
    <mergeCell ref="W59:W60"/>
    <mergeCell ref="X59:X60"/>
    <mergeCell ref="Y59:Y60"/>
    <mergeCell ref="Z59:Z60"/>
    <mergeCell ref="AA59:AA60"/>
    <mergeCell ref="AB59:AB60"/>
    <mergeCell ref="O59:O60"/>
    <mergeCell ref="Q59:Q60"/>
    <mergeCell ref="R59:R60"/>
    <mergeCell ref="S59:S60"/>
    <mergeCell ref="T59:T60"/>
    <mergeCell ref="V59:V60"/>
    <mergeCell ref="A93:O93"/>
    <mergeCell ref="A94:O94"/>
    <mergeCell ref="A96:N96"/>
    <mergeCell ref="E97:F97"/>
    <mergeCell ref="H97:O97"/>
    <mergeCell ref="I99:O99"/>
    <mergeCell ref="G82:K82"/>
    <mergeCell ref="G83:K83"/>
    <mergeCell ref="G84:K84"/>
    <mergeCell ref="G85:K85"/>
    <mergeCell ref="A89:B89"/>
    <mergeCell ref="E89:G89"/>
    <mergeCell ref="H89:N89"/>
    <mergeCell ref="H101:J101"/>
    <mergeCell ref="K101:O101"/>
    <mergeCell ref="Q101:AE101"/>
    <mergeCell ref="A103:A104"/>
    <mergeCell ref="B103:C103"/>
    <mergeCell ref="D103:E103"/>
    <mergeCell ref="F103:F104"/>
    <mergeCell ref="G103:G104"/>
    <mergeCell ref="H103:H104"/>
    <mergeCell ref="I103:I104"/>
    <mergeCell ref="AD103:AD104"/>
    <mergeCell ref="AE103:AE104"/>
    <mergeCell ref="O105:O116"/>
    <mergeCell ref="Q117:T117"/>
    <mergeCell ref="G119:K119"/>
    <mergeCell ref="G120:K120"/>
    <mergeCell ref="X103:X104"/>
    <mergeCell ref="Y103:Y104"/>
    <mergeCell ref="Z103:Z104"/>
    <mergeCell ref="AA103:AA104"/>
    <mergeCell ref="AB103:AB104"/>
    <mergeCell ref="AC103:AC104"/>
    <mergeCell ref="Q103:Q104"/>
    <mergeCell ref="R103:R104"/>
    <mergeCell ref="S103:S104"/>
    <mergeCell ref="T103:T104"/>
    <mergeCell ref="V103:V104"/>
    <mergeCell ref="W103:W104"/>
    <mergeCell ref="J103:J104"/>
    <mergeCell ref="K103:K104"/>
    <mergeCell ref="L103:L104"/>
    <mergeCell ref="M103:M104"/>
    <mergeCell ref="N103:N104"/>
    <mergeCell ref="O103:O104"/>
    <mergeCell ref="G127:K127"/>
    <mergeCell ref="G128:K128"/>
    <mergeCell ref="G129:K129"/>
    <mergeCell ref="A133:B133"/>
    <mergeCell ref="E133:G133"/>
    <mergeCell ref="H133:N133"/>
    <mergeCell ref="G121:K121"/>
    <mergeCell ref="G122:K122"/>
    <mergeCell ref="G123:K123"/>
    <mergeCell ref="G124:K124"/>
    <mergeCell ref="G125:K125"/>
    <mergeCell ref="G126:K126"/>
    <mergeCell ref="A146:A147"/>
    <mergeCell ref="B146:C146"/>
    <mergeCell ref="D146:E146"/>
    <mergeCell ref="F146:F147"/>
    <mergeCell ref="G146:G147"/>
    <mergeCell ref="H146:H147"/>
    <mergeCell ref="I146:I147"/>
    <mergeCell ref="A136:O136"/>
    <mergeCell ref="A137:O137"/>
    <mergeCell ref="A139:N139"/>
    <mergeCell ref="E140:F140"/>
    <mergeCell ref="H140:O140"/>
    <mergeCell ref="I142:O142"/>
    <mergeCell ref="J146:J147"/>
    <mergeCell ref="K146:K147"/>
    <mergeCell ref="L146:L147"/>
    <mergeCell ref="M146:M147"/>
    <mergeCell ref="N146:N147"/>
    <mergeCell ref="O146:O147"/>
    <mergeCell ref="H144:J144"/>
    <mergeCell ref="K144:O144"/>
    <mergeCell ref="Q144:AE144"/>
    <mergeCell ref="U146:U147"/>
    <mergeCell ref="G164:K164"/>
    <mergeCell ref="G165:K165"/>
    <mergeCell ref="G166:K166"/>
    <mergeCell ref="G167:K167"/>
    <mergeCell ref="G168:K168"/>
    <mergeCell ref="G169:K169"/>
    <mergeCell ref="AD146:AD147"/>
    <mergeCell ref="AE146:AE147"/>
    <mergeCell ref="O148:O159"/>
    <mergeCell ref="Q160:T160"/>
    <mergeCell ref="G162:K162"/>
    <mergeCell ref="G163:K163"/>
    <mergeCell ref="X146:X147"/>
    <mergeCell ref="Y146:Y147"/>
    <mergeCell ref="Z146:Z147"/>
    <mergeCell ref="AA146:AA147"/>
    <mergeCell ref="AB146:AB147"/>
    <mergeCell ref="AC146:AC147"/>
    <mergeCell ref="Q146:Q147"/>
    <mergeCell ref="R146:R147"/>
    <mergeCell ref="S146:S147"/>
    <mergeCell ref="T146:T147"/>
    <mergeCell ref="V146:V147"/>
    <mergeCell ref="W146:W147"/>
    <mergeCell ref="A179:O179"/>
    <mergeCell ref="A180:O180"/>
    <mergeCell ref="A182:N182"/>
    <mergeCell ref="E183:F183"/>
    <mergeCell ref="H183:O183"/>
    <mergeCell ref="I185:O185"/>
    <mergeCell ref="G170:K170"/>
    <mergeCell ref="G171:K171"/>
    <mergeCell ref="G172:K172"/>
    <mergeCell ref="A176:B176"/>
    <mergeCell ref="E176:G176"/>
    <mergeCell ref="H176:N176"/>
    <mergeCell ref="H187:J187"/>
    <mergeCell ref="K187:O187"/>
    <mergeCell ref="Q187:AE187"/>
    <mergeCell ref="A189:A190"/>
    <mergeCell ref="B189:C189"/>
    <mergeCell ref="D189:E189"/>
    <mergeCell ref="F189:F190"/>
    <mergeCell ref="G189:G190"/>
    <mergeCell ref="H189:H190"/>
    <mergeCell ref="I189:I190"/>
    <mergeCell ref="U189:U190"/>
    <mergeCell ref="AD189:AD190"/>
    <mergeCell ref="AE189:AE190"/>
    <mergeCell ref="O191:O202"/>
    <mergeCell ref="Q203:T203"/>
    <mergeCell ref="G205:K205"/>
    <mergeCell ref="G206:K206"/>
    <mergeCell ref="X189:X190"/>
    <mergeCell ref="Y189:Y190"/>
    <mergeCell ref="Z189:Z190"/>
    <mergeCell ref="AA189:AA190"/>
    <mergeCell ref="AB189:AB190"/>
    <mergeCell ref="AC189:AC190"/>
    <mergeCell ref="Q189:Q190"/>
    <mergeCell ref="R189:R190"/>
    <mergeCell ref="S189:S190"/>
    <mergeCell ref="T189:T190"/>
    <mergeCell ref="V189:V190"/>
    <mergeCell ref="W189:W190"/>
    <mergeCell ref="J189:J190"/>
    <mergeCell ref="K189:K190"/>
    <mergeCell ref="L189:L190"/>
    <mergeCell ref="M189:M190"/>
    <mergeCell ref="N189:N190"/>
    <mergeCell ref="O189:O190"/>
    <mergeCell ref="G213:K213"/>
    <mergeCell ref="G214:K214"/>
    <mergeCell ref="G215:K215"/>
    <mergeCell ref="A219:B219"/>
    <mergeCell ref="E219:G219"/>
    <mergeCell ref="H219:N219"/>
    <mergeCell ref="G207:K207"/>
    <mergeCell ref="G208:K208"/>
    <mergeCell ref="G209:K209"/>
    <mergeCell ref="G210:K210"/>
    <mergeCell ref="G211:K211"/>
    <mergeCell ref="G212:K212"/>
    <mergeCell ref="A232:A233"/>
    <mergeCell ref="B232:C232"/>
    <mergeCell ref="D232:E232"/>
    <mergeCell ref="F232:F233"/>
    <mergeCell ref="G232:G233"/>
    <mergeCell ref="H232:H233"/>
    <mergeCell ref="I232:I233"/>
    <mergeCell ref="A222:O222"/>
    <mergeCell ref="A223:O223"/>
    <mergeCell ref="A225:O225"/>
    <mergeCell ref="E226:F226"/>
    <mergeCell ref="H226:O226"/>
    <mergeCell ref="I228:O228"/>
    <mergeCell ref="J232:J233"/>
    <mergeCell ref="K232:K233"/>
    <mergeCell ref="L232:L233"/>
    <mergeCell ref="M232:M233"/>
    <mergeCell ref="N232:N233"/>
    <mergeCell ref="O232:O233"/>
    <mergeCell ref="H230:J230"/>
    <mergeCell ref="K230:O230"/>
    <mergeCell ref="Q230:AE230"/>
    <mergeCell ref="U232:U233"/>
    <mergeCell ref="G250:K250"/>
    <mergeCell ref="G251:K251"/>
    <mergeCell ref="G252:K252"/>
    <mergeCell ref="G253:K253"/>
    <mergeCell ref="G254:K254"/>
    <mergeCell ref="G255:K255"/>
    <mergeCell ref="AD232:AD233"/>
    <mergeCell ref="AE232:AE233"/>
    <mergeCell ref="O234:O246"/>
    <mergeCell ref="Q246:T246"/>
    <mergeCell ref="G248:K248"/>
    <mergeCell ref="G249:K249"/>
    <mergeCell ref="X232:X233"/>
    <mergeCell ref="Y232:Y233"/>
    <mergeCell ref="Z232:Z233"/>
    <mergeCell ref="AA232:AA233"/>
    <mergeCell ref="AB232:AB233"/>
    <mergeCell ref="AC232:AC233"/>
    <mergeCell ref="Q232:Q233"/>
    <mergeCell ref="R232:R233"/>
    <mergeCell ref="S232:S233"/>
    <mergeCell ref="T232:T233"/>
    <mergeCell ref="V232:V233"/>
    <mergeCell ref="W232:W233"/>
    <mergeCell ref="A265:O265"/>
    <mergeCell ref="A266:O266"/>
    <mergeCell ref="A268:O268"/>
    <mergeCell ref="E269:F269"/>
    <mergeCell ref="H269:O269"/>
    <mergeCell ref="I271:O271"/>
    <mergeCell ref="G256:K256"/>
    <mergeCell ref="G257:K257"/>
    <mergeCell ref="G258:K258"/>
    <mergeCell ref="A262:B262"/>
    <mergeCell ref="E262:G262"/>
    <mergeCell ref="H262:N262"/>
    <mergeCell ref="H273:J273"/>
    <mergeCell ref="K273:O273"/>
    <mergeCell ref="Q273:AE273"/>
    <mergeCell ref="A275:A276"/>
    <mergeCell ref="B275:C275"/>
    <mergeCell ref="D275:E275"/>
    <mergeCell ref="F275:F276"/>
    <mergeCell ref="G275:G276"/>
    <mergeCell ref="H275:H276"/>
    <mergeCell ref="I275:I276"/>
    <mergeCell ref="U275:U276"/>
    <mergeCell ref="AD275:AD276"/>
    <mergeCell ref="AE275:AE276"/>
    <mergeCell ref="O277:O284"/>
    <mergeCell ref="O285:O288"/>
    <mergeCell ref="Q289:T289"/>
    <mergeCell ref="G291:K291"/>
    <mergeCell ref="X275:X276"/>
    <mergeCell ref="Y275:Y276"/>
    <mergeCell ref="Z275:Z276"/>
    <mergeCell ref="AA275:AA276"/>
    <mergeCell ref="AB275:AB276"/>
    <mergeCell ref="AC275:AC276"/>
    <mergeCell ref="Q275:Q276"/>
    <mergeCell ref="R275:R276"/>
    <mergeCell ref="S275:S276"/>
    <mergeCell ref="T275:T276"/>
    <mergeCell ref="V275:V276"/>
    <mergeCell ref="W275:W276"/>
    <mergeCell ref="J275:J276"/>
    <mergeCell ref="K275:K276"/>
    <mergeCell ref="L275:L276"/>
    <mergeCell ref="M275:M276"/>
    <mergeCell ref="N275:N276"/>
    <mergeCell ref="O275:O276"/>
    <mergeCell ref="G298:K298"/>
    <mergeCell ref="G299:K299"/>
    <mergeCell ref="G300:K300"/>
    <mergeCell ref="G301:K301"/>
    <mergeCell ref="A305:B305"/>
    <mergeCell ref="E305:G305"/>
    <mergeCell ref="H305:N305"/>
    <mergeCell ref="G292:K292"/>
    <mergeCell ref="G293:K293"/>
    <mergeCell ref="G294:K294"/>
    <mergeCell ref="G295:K295"/>
    <mergeCell ref="G296:K296"/>
    <mergeCell ref="G297:K297"/>
    <mergeCell ref="A318:A319"/>
    <mergeCell ref="B318:C318"/>
    <mergeCell ref="D318:E318"/>
    <mergeCell ref="F318:F319"/>
    <mergeCell ref="G318:G319"/>
    <mergeCell ref="H318:H319"/>
    <mergeCell ref="I318:I319"/>
    <mergeCell ref="A308:O308"/>
    <mergeCell ref="A309:O309"/>
    <mergeCell ref="A311:O311"/>
    <mergeCell ref="E312:F312"/>
    <mergeCell ref="H312:O312"/>
    <mergeCell ref="I314:O314"/>
    <mergeCell ref="J318:J319"/>
    <mergeCell ref="K318:K319"/>
    <mergeCell ref="L318:L319"/>
    <mergeCell ref="M318:M319"/>
    <mergeCell ref="N318:N319"/>
    <mergeCell ref="O318:O319"/>
    <mergeCell ref="H316:J316"/>
    <mergeCell ref="K316:O316"/>
    <mergeCell ref="Q316:AE316"/>
    <mergeCell ref="U318:U319"/>
    <mergeCell ref="G336:K336"/>
    <mergeCell ref="G337:K337"/>
    <mergeCell ref="G338:K338"/>
    <mergeCell ref="G339:K339"/>
    <mergeCell ref="G340:K340"/>
    <mergeCell ref="G341:K341"/>
    <mergeCell ref="AD318:AD319"/>
    <mergeCell ref="AE318:AE319"/>
    <mergeCell ref="O320:O331"/>
    <mergeCell ref="Q332:T332"/>
    <mergeCell ref="G334:K334"/>
    <mergeCell ref="G335:K335"/>
    <mergeCell ref="X318:X319"/>
    <mergeCell ref="Y318:Y319"/>
    <mergeCell ref="Z318:Z319"/>
    <mergeCell ref="AA318:AA319"/>
    <mergeCell ref="AB318:AB319"/>
    <mergeCell ref="AC318:AC319"/>
    <mergeCell ref="Q318:Q319"/>
    <mergeCell ref="R318:R319"/>
    <mergeCell ref="S318:S319"/>
    <mergeCell ref="T318:T319"/>
    <mergeCell ref="V318:V319"/>
    <mergeCell ref="W318:W319"/>
    <mergeCell ref="A352:O352"/>
    <mergeCell ref="A353:O353"/>
    <mergeCell ref="A354:N354"/>
    <mergeCell ref="F355:N355"/>
    <mergeCell ref="F357:G357"/>
    <mergeCell ref="K357:N357"/>
    <mergeCell ref="G342:K342"/>
    <mergeCell ref="G343:K343"/>
    <mergeCell ref="G344:K344"/>
    <mergeCell ref="A349:B349"/>
    <mergeCell ref="E349:G349"/>
    <mergeCell ref="H349:N349"/>
    <mergeCell ref="O393:O404"/>
    <mergeCell ref="G407:K407"/>
    <mergeCell ref="G379:K379"/>
    <mergeCell ref="G380:K380"/>
    <mergeCell ref="G381:K381"/>
    <mergeCell ref="G382:K382"/>
    <mergeCell ref="A385:N385"/>
    <mergeCell ref="F386:N386"/>
    <mergeCell ref="G359:H359"/>
    <mergeCell ref="K359:N359"/>
    <mergeCell ref="O362:O373"/>
    <mergeCell ref="G376:K376"/>
    <mergeCell ref="G377:K377"/>
    <mergeCell ref="G378:K378"/>
    <mergeCell ref="G408:K408"/>
    <mergeCell ref="G409:K409"/>
    <mergeCell ref="G410:K410"/>
    <mergeCell ref="G411:K411"/>
    <mergeCell ref="G412:K412"/>
    <mergeCell ref="G413:K413"/>
    <mergeCell ref="F388:G388"/>
    <mergeCell ref="K388:N388"/>
    <mergeCell ref="G390:H390"/>
    <mergeCell ref="K390:N390"/>
    <mergeCell ref="A425:A426"/>
    <mergeCell ref="B425:C425"/>
    <mergeCell ref="D425:E425"/>
    <mergeCell ref="F425:F426"/>
    <mergeCell ref="G425:G426"/>
    <mergeCell ref="H425:H426"/>
    <mergeCell ref="I425:I426"/>
    <mergeCell ref="A415:O415"/>
    <mergeCell ref="A416:O416"/>
    <mergeCell ref="A418:O418"/>
    <mergeCell ref="E419:F419"/>
    <mergeCell ref="H419:O419"/>
    <mergeCell ref="I421:O421"/>
    <mergeCell ref="J425:J426"/>
    <mergeCell ref="K425:K426"/>
    <mergeCell ref="L425:L426"/>
    <mergeCell ref="M425:M426"/>
    <mergeCell ref="N425:N426"/>
    <mergeCell ref="O425:O426"/>
    <mergeCell ref="H423:J423"/>
    <mergeCell ref="K423:O423"/>
    <mergeCell ref="Q423:AE423"/>
    <mergeCell ref="U425:U426"/>
    <mergeCell ref="G443:K443"/>
    <mergeCell ref="G444:K444"/>
    <mergeCell ref="G445:K445"/>
    <mergeCell ref="G446:K446"/>
    <mergeCell ref="G447:K447"/>
    <mergeCell ref="G448:K448"/>
    <mergeCell ref="AD425:AD426"/>
    <mergeCell ref="AE425:AE426"/>
    <mergeCell ref="O427:O438"/>
    <mergeCell ref="Q439:T439"/>
    <mergeCell ref="G441:K441"/>
    <mergeCell ref="G442:K442"/>
    <mergeCell ref="X425:X426"/>
    <mergeCell ref="Y425:Y426"/>
    <mergeCell ref="Z425:Z426"/>
    <mergeCell ref="AA425:AA426"/>
    <mergeCell ref="AB425:AB426"/>
    <mergeCell ref="AC425:AC426"/>
    <mergeCell ref="Q425:Q426"/>
    <mergeCell ref="R425:R426"/>
    <mergeCell ref="S425:S426"/>
    <mergeCell ref="T425:T426"/>
    <mergeCell ref="V425:V426"/>
    <mergeCell ref="W425:W426"/>
    <mergeCell ref="A458:O458"/>
    <mergeCell ref="A459:O459"/>
    <mergeCell ref="A461:N461"/>
    <mergeCell ref="F462:N462"/>
    <mergeCell ref="F464:G464"/>
    <mergeCell ref="K464:N464"/>
    <mergeCell ref="G449:K449"/>
    <mergeCell ref="G450:K450"/>
    <mergeCell ref="G451:K451"/>
    <mergeCell ref="A456:B456"/>
    <mergeCell ref="E456:G456"/>
    <mergeCell ref="H456:N456"/>
    <mergeCell ref="G484:K484"/>
    <mergeCell ref="G485:K485"/>
    <mergeCell ref="G486:K486"/>
    <mergeCell ref="G487:K487"/>
    <mergeCell ref="G488:K488"/>
    <mergeCell ref="G489:K489"/>
    <mergeCell ref="G466:H466"/>
    <mergeCell ref="K466:N466"/>
    <mergeCell ref="O469:O471"/>
    <mergeCell ref="O472:O477"/>
    <mergeCell ref="O478:O480"/>
    <mergeCell ref="G483:K483"/>
    <mergeCell ref="A502:A503"/>
    <mergeCell ref="B502:C502"/>
    <mergeCell ref="D502:E502"/>
    <mergeCell ref="F502:F503"/>
    <mergeCell ref="G502:G503"/>
    <mergeCell ref="H502:H503"/>
    <mergeCell ref="I502:I503"/>
    <mergeCell ref="A492:O492"/>
    <mergeCell ref="A493:O493"/>
    <mergeCell ref="A495:O495"/>
    <mergeCell ref="E496:F496"/>
    <mergeCell ref="H496:O496"/>
    <mergeCell ref="I498:O498"/>
    <mergeCell ref="J502:J503"/>
    <mergeCell ref="K502:K503"/>
    <mergeCell ref="L502:L503"/>
    <mergeCell ref="M502:M503"/>
    <mergeCell ref="N502:N503"/>
    <mergeCell ref="O502:O503"/>
    <mergeCell ref="H500:J500"/>
    <mergeCell ref="K500:O500"/>
    <mergeCell ref="Q500:AE500"/>
    <mergeCell ref="U502:U503"/>
    <mergeCell ref="G520:K520"/>
    <mergeCell ref="G521:K521"/>
    <mergeCell ref="G522:K522"/>
    <mergeCell ref="G523:K523"/>
    <mergeCell ref="G524:K524"/>
    <mergeCell ref="G525:K525"/>
    <mergeCell ref="AD502:AD503"/>
    <mergeCell ref="AE502:AE503"/>
    <mergeCell ref="O504:O515"/>
    <mergeCell ref="Q516:T516"/>
    <mergeCell ref="G518:K518"/>
    <mergeCell ref="G519:K519"/>
    <mergeCell ref="X502:X503"/>
    <mergeCell ref="Y502:Y503"/>
    <mergeCell ref="Z502:Z503"/>
    <mergeCell ref="AA502:AA503"/>
    <mergeCell ref="AB502:AB503"/>
    <mergeCell ref="AC502:AC503"/>
    <mergeCell ref="Q502:Q503"/>
    <mergeCell ref="R502:R503"/>
    <mergeCell ref="S502:S503"/>
    <mergeCell ref="T502:T503"/>
    <mergeCell ref="V502:V503"/>
    <mergeCell ref="W502:W503"/>
    <mergeCell ref="A534:O534"/>
    <mergeCell ref="A535:O535"/>
    <mergeCell ref="A537:N537"/>
    <mergeCell ref="F538:N538"/>
    <mergeCell ref="F540:G540"/>
    <mergeCell ref="K540:N540"/>
    <mergeCell ref="G526:K526"/>
    <mergeCell ref="G527:K527"/>
    <mergeCell ref="G528:K528"/>
    <mergeCell ref="A533:B533"/>
    <mergeCell ref="E533:G533"/>
    <mergeCell ref="H533:N533"/>
    <mergeCell ref="G561:K561"/>
    <mergeCell ref="G562:K562"/>
    <mergeCell ref="G563:K563"/>
    <mergeCell ref="G564:K564"/>
    <mergeCell ref="G565:K565"/>
    <mergeCell ref="G542:H542"/>
    <mergeCell ref="K542:N542"/>
    <mergeCell ref="O545:O547"/>
    <mergeCell ref="O548:O556"/>
    <mergeCell ref="G559:K559"/>
    <mergeCell ref="G560:K5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Ajay Mahajan</cp:lastModifiedBy>
  <dcterms:created xsi:type="dcterms:W3CDTF">2024-11-27T10:07:21Z</dcterms:created>
  <dcterms:modified xsi:type="dcterms:W3CDTF">2024-12-04T10:36:17Z</dcterms:modified>
</cp:coreProperties>
</file>